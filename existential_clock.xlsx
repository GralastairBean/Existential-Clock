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39F1E86B-BFFA-4516-8DBE-232C3CA09398}" xr6:coauthVersionLast="47" xr6:coauthVersionMax="47" xr10:uidLastSave="{00000000-0000-0000-0000-000000000000}"/>
  <bookViews>
    <workbookView xWindow="-105" yWindow="0" windowWidth="19410" windowHeight="20985" activeTab="3" xr2:uid="{40828F16-29DA-45C9-A086-6FC10EDDC1B2}"/>
  </bookViews>
  <sheets>
    <sheet name="maths" sheetId="1" r:id="rId1"/>
    <sheet name="bom" sheetId="2" r:id="rId2"/>
    <sheet name="SNdataBase" sheetId="7" r:id="rId3"/>
    <sheet name="testing" sheetId="6" r:id="rId4"/>
    <sheet name="pinout" sheetId="3" r:id="rId5"/>
    <sheet name="wiring" sheetId="4" r:id="rId6"/>
    <sheet name="power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6" l="1"/>
  <c r="F11" i="6"/>
  <c r="H7" i="7"/>
  <c r="H6" i="7"/>
  <c r="H5" i="7"/>
  <c r="D21" i="2"/>
  <c r="D20" i="2"/>
  <c r="D19" i="2"/>
  <c r="D18" i="2"/>
  <c r="D2" i="2"/>
  <c r="D3" i="2"/>
  <c r="C23" i="2"/>
  <c r="D14" i="2"/>
  <c r="D15" i="2"/>
  <c r="D16" i="2"/>
  <c r="D17" i="2"/>
  <c r="D13" i="2"/>
  <c r="A12" i="6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4" i="1" a="1"/>
  <c r="C9" i="1" a="1"/>
  <c r="C10" i="1" a="1"/>
  <c r="C3" i="1" a="1"/>
  <c r="C7" i="1" a="1"/>
  <c r="C2" i="1" a="1"/>
  <c r="C8" i="1" a="1"/>
  <c r="D23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<sst xmlns="http://schemas.openxmlformats.org/spreadsheetml/2006/main" count="213" uniqueCount="153">
  <si>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</si>
  <si>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</si>
  <si>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</si>
  <si>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</si>
  <si>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</si>
  <si>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</si>
  <si>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</si>
  <si>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</si>
  <si>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</si>
  <si>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</si>
  <si>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</si>
  <si>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</si>
  <si>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</si>
  <si>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</si>
  <si>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</si>
  <si>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</si>
  <si>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</si>
  <si>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</si>
  <si>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</si>
  <si>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</si>
  <si>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</si>
  <si>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</si>
  <si>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</si>
  <si>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</si>
  <si>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</si>
  <si>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</si>
  <si>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</si>
  <si>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</si>
  <si>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</si>
  <si>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</si>
  <si>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</si>
  <si>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</si>
  <si>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</si>
  <si>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</si>
  <si>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</si>
  <si>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</si>
  <si>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</si>
  <si>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</si>
  <si>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</si>
  <si>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</si>
  <si>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</si>
  <si>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</si>
  <si>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</si>
  <si>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</si>
  <si>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</si>
  <si>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</si>
  <si>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</si>
  <si>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</si>
  <si>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</si>
  <si>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</si>
  <si>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</si>
  <si>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</si>
  <si>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</si>
  <si>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</si>
  <si>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</si>
  <si>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</si>
  <si>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</si>
  <si>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</si>
  <si>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</si>
  <si>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</si>
  <si>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</si>
  <si>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</si>
  <si>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</si>
  <si>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</si>
  <si>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</si>
  <si>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</si>
  <si>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</si>
  <si>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</si>
  <si>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</si>
  <si>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</si>
  <si>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</si>
  <si>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</si>
  <si>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</si>
  <si>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</si>
  <si>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</si>
  <si>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</si>
  <si>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</si>
  <si>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</si>
  <si>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</si>
  <si>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</si>
  <si>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</si>
  <si>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</si>
  <si>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</si>
  <si>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</si>
  <si>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</si>
  <si>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</si>
  <si>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</si>
  <si>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</si>
  <si>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</si>
  <si>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</si>
  <si>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</si>
  <si>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</si>
  <si>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</si>
  <si>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</si>
  <si>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</si>
  <si>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</si>
  <si>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</si>
  <si>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</si>
  <si>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</si>
  <si>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</si>
  <si>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</si>
  <si>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</si>
  <si>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</si>
  <si>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</si>
  <si>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</si>
  <si>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</si>
  <si>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</si>
  <si>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</si>
  <si>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</si>
  <si>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</si>
  <si>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</si>
  <si>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</si>
  <si>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</si>
  <si>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</si>
  <si>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</si>
  <si>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</si>
  <si>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</si>
  <si>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</si>
  <si>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</si>
  <si>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</si>
  <si>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</si>
  <si>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</si>
  <si>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</si>
  <si>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</si>
  <si>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</si>
  <si>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</si>
  <si>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</si>
  <si>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</si>
  <si>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</si>
  <si>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</si>
  <si>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</si>
  <si>
    <t>SN</t>
  </si>
  <si>
    <t>owner</t>
  </si>
  <si>
    <t>deathDate</t>
  </si>
  <si>
    <t>unixTime</t>
  </si>
  <si>
    <t>01</t>
  </si>
  <si>
    <t>ali</t>
  </si>
  <si>
    <t>02</t>
  </si>
  <si>
    <t>remain</t>
  </si>
  <si>
    <t>LE</t>
  </si>
  <si>
    <t>03</t>
  </si>
  <si>
    <t>colour</t>
  </si>
  <si>
    <t>red</t>
  </si>
  <si>
    <t>white</t>
  </si>
  <si>
    <t>for issues per SN see github</t>
  </si>
  <si>
    <t>test</t>
  </si>
  <si>
    <t>RTC_set</t>
  </si>
  <si>
    <t>&lt;&lt; ENTER</t>
  </si>
  <si>
    <t>SN01</t>
  </si>
  <si>
    <t>SN02</t>
  </si>
  <si>
    <t>SN03</t>
  </si>
  <si>
    <t>Delta T (sec)</t>
  </si>
  <si>
    <t>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</si>
</sst>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44" fontId="2" fillId="0" borderId="0" xfId="2" applyFont="1"/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14" sqref="A1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122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123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129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120</v>
      </c>
      <c r="B13" s="3">
        <v>0.11</v>
      </c>
      <c r="C13" s="5">
        <v>10</v>
      </c>
      <c r="D13" s="3">
        <f>C13*B13</f>
        <v>1.1000000000000001</v>
      </c>
      <c r="E13" t="s">
        <v>130</v>
      </c>
    </row>
    <row r="14" spans="1:5" x14ac:dyDescent="0.25">
      <c r="A14" t="s">
        <v>119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118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121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124</v>
      </c>
      <c r="B18" s="3">
        <v>1</v>
      </c>
      <c r="C18" s="5">
        <v>1</v>
      </c>
      <c r="D18" s="3">
        <f t="shared" si="2"/>
        <v>1</v>
      </c>
      <c r="E18" t="s">
        <v>128</v>
      </c>
    </row>
    <row r="19" spans="1:5" x14ac:dyDescent="0.25">
      <c r="A19" t="s">
        <v>125</v>
      </c>
      <c r="B19" s="3">
        <v>0.5</v>
      </c>
      <c r="C19" s="5">
        <v>1</v>
      </c>
      <c r="D19" s="3">
        <f t="shared" si="2"/>
        <v>0.5</v>
      </c>
      <c r="E19" t="s">
        <v>128</v>
      </c>
    </row>
    <row r="20" spans="1:5" x14ac:dyDescent="0.25">
      <c r="A20" t="s">
        <v>126</v>
      </c>
      <c r="B20" s="3">
        <v>0.15</v>
      </c>
      <c r="C20" s="5">
        <v>2</v>
      </c>
      <c r="D20" s="3">
        <f t="shared" si="2"/>
        <v>0.3</v>
      </c>
      <c r="E20" t="s">
        <v>128</v>
      </c>
    </row>
    <row r="21" spans="1:5" x14ac:dyDescent="0.25">
      <c r="A21" t="s">
        <v>127</v>
      </c>
      <c r="B21" s="3">
        <v>0.15</v>
      </c>
      <c r="C21" s="5">
        <v>2</v>
      </c>
      <c r="D21" s="3">
        <f t="shared" si="2"/>
        <v>0.3</v>
      </c>
      <c r="E21" t="s">
        <v>128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5"/>
      <c r="C23" s="4">
        <f>SUM(C4:C17)</f>
        <v>34</v>
      </c>
      <c r="D23" s="15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C4D-67F5-47E1-835A-1F494C96898F}">
  <dimension ref="A1:I21"/>
  <sheetViews>
    <sheetView zoomScale="130" zoomScaleNormal="130" workbookViewId="0">
      <selection activeCell="H19" sqref="H19"/>
    </sheetView>
  </sheetViews>
  <sheetFormatPr defaultRowHeight="15" x14ac:dyDescent="0.25"/>
  <cols>
    <col min="1" max="1" width="9.140625" style="5"/>
    <col min="2" max="2" width="15.140625" style="5" bestFit="1" customWidth="1"/>
    <col min="3" max="3" width="9" style="5" customWidth="1"/>
    <col min="4" max="4" width="11.85546875" style="5" bestFit="1" customWidth="1"/>
    <col min="5" max="5" width="8.85546875" style="5" customWidth="1"/>
    <col min="6" max="6" width="14.42578125" style="5" bestFit="1" customWidth="1"/>
    <col min="7" max="8" width="15.140625" style="5" bestFit="1" customWidth="1"/>
    <col min="9" max="9" width="43" style="5" customWidth="1"/>
    <col min="10" max="16384" width="9.140625" style="5"/>
  </cols>
  <sheetData>
    <row r="1" spans="1:9" x14ac:dyDescent="0.25">
      <c r="A1" s="10" t="s">
        <v>108</v>
      </c>
      <c r="B1" s="11">
        <v>1767408130</v>
      </c>
      <c r="C1" t="s">
        <v>147</v>
      </c>
      <c r="D1"/>
    </row>
    <row r="2" spans="1:9" x14ac:dyDescent="0.25">
      <c r="A2" s="6" t="s">
        <v>144</v>
      </c>
      <c r="C2"/>
      <c r="D2"/>
    </row>
    <row r="4" spans="1:9" s="4" customFormat="1" x14ac:dyDescent="0.25">
      <c r="A4" s="4" t="s">
        <v>131</v>
      </c>
      <c r="B4" s="4" t="s">
        <v>141</v>
      </c>
      <c r="C4" s="4" t="s">
        <v>132</v>
      </c>
      <c r="D4" s="4" t="s">
        <v>146</v>
      </c>
      <c r="E4" s="4" t="s">
        <v>139</v>
      </c>
      <c r="F4" s="4" t="s">
        <v>133</v>
      </c>
      <c r="G4" s="4" t="s">
        <v>134</v>
      </c>
      <c r="H4" s="4" t="s">
        <v>138</v>
      </c>
    </row>
    <row r="5" spans="1:9" x14ac:dyDescent="0.25">
      <c r="A5" s="16" t="s">
        <v>135</v>
      </c>
      <c r="B5" s="16" t="s">
        <v>142</v>
      </c>
      <c r="C5" s="5" t="s">
        <v>136</v>
      </c>
      <c r="D5" s="13">
        <v>46021</v>
      </c>
      <c r="E5" s="5">
        <v>83</v>
      </c>
      <c r="F5" s="13">
        <v>63515</v>
      </c>
      <c r="G5" s="1">
        <v>3278505600</v>
      </c>
      <c r="H5" s="17">
        <f>G5-$B$1</f>
        <v>1511097470</v>
      </c>
    </row>
    <row r="6" spans="1:9" x14ac:dyDescent="0.25">
      <c r="A6" s="16" t="s">
        <v>137</v>
      </c>
      <c r="B6" s="16" t="s">
        <v>142</v>
      </c>
      <c r="C6" s="5" t="s">
        <v>152</v>
      </c>
      <c r="D6" s="13">
        <v>46021</v>
      </c>
      <c r="E6" s="5">
        <v>81</v>
      </c>
      <c r="F6" s="13">
        <v>62245</v>
      </c>
      <c r="G6" s="1">
        <v>3168777600</v>
      </c>
      <c r="H6" s="17">
        <f>G6-$B$1</f>
        <v>1401369470</v>
      </c>
      <c r="I6" s="17"/>
    </row>
    <row r="7" spans="1:9" x14ac:dyDescent="0.25">
      <c r="A7" s="18" t="s">
        <v>140</v>
      </c>
      <c r="B7" s="18" t="s">
        <v>143</v>
      </c>
      <c r="C7" s="19" t="s">
        <v>145</v>
      </c>
      <c r="D7" s="13">
        <v>46021</v>
      </c>
      <c r="E7" s="5">
        <v>83</v>
      </c>
      <c r="F7" s="13">
        <v>63515</v>
      </c>
      <c r="G7" s="1">
        <v>3278505600</v>
      </c>
      <c r="H7" s="17">
        <f>G7-$B$1</f>
        <v>1511097470</v>
      </c>
    </row>
    <row r="8" spans="1:9" x14ac:dyDescent="0.25">
      <c r="A8" s="16"/>
      <c r="B8" s="16"/>
      <c r="F8" s="13"/>
      <c r="G8" s="1"/>
      <c r="H8" s="17"/>
    </row>
    <row r="9" spans="1:9" x14ac:dyDescent="0.25">
      <c r="A9" s="16"/>
      <c r="B9" s="16"/>
      <c r="F9" s="13"/>
      <c r="G9" s="1"/>
      <c r="H9" s="17"/>
    </row>
    <row r="10" spans="1:9" x14ac:dyDescent="0.25">
      <c r="A10" s="16"/>
      <c r="B10" s="16"/>
      <c r="F10" s="13"/>
      <c r="G10" s="1"/>
      <c r="H10" s="17"/>
    </row>
    <row r="11" spans="1:9" x14ac:dyDescent="0.25">
      <c r="A11" s="16"/>
      <c r="B11" s="16"/>
      <c r="F11" s="13"/>
      <c r="G11" s="1"/>
      <c r="H11" s="17"/>
    </row>
    <row r="12" spans="1:9" x14ac:dyDescent="0.25">
      <c r="A12" s="16"/>
      <c r="B12" s="16"/>
      <c r="F12" s="13"/>
      <c r="G12" s="1"/>
      <c r="H12" s="17"/>
    </row>
    <row r="13" spans="1:9" x14ac:dyDescent="0.25">
      <c r="A13" s="16"/>
      <c r="B13" s="16"/>
      <c r="F13" s="13"/>
      <c r="G13" s="1"/>
      <c r="H13" s="17"/>
    </row>
    <row r="14" spans="1:9" x14ac:dyDescent="0.25">
      <c r="A14" s="16"/>
      <c r="B14" s="16"/>
      <c r="F14" s="13"/>
      <c r="G14" s="1"/>
      <c r="H14" s="17"/>
    </row>
    <row r="15" spans="1:9" x14ac:dyDescent="0.25">
      <c r="A15" s="16"/>
      <c r="B15" s="16"/>
      <c r="F15" s="13"/>
      <c r="G15" s="1"/>
      <c r="H15" s="17"/>
    </row>
    <row r="16" spans="1:9" x14ac:dyDescent="0.25">
      <c r="A16" s="16"/>
      <c r="B16" s="16"/>
      <c r="F16" s="13"/>
      <c r="G16" s="1"/>
      <c r="H16" s="17"/>
    </row>
    <row r="17" spans="1:8" x14ac:dyDescent="0.25">
      <c r="A17" s="16"/>
      <c r="B17" s="16"/>
      <c r="F17" s="13"/>
      <c r="G17" s="1"/>
      <c r="H17" s="17"/>
    </row>
    <row r="18" spans="1:8" x14ac:dyDescent="0.25">
      <c r="F18" s="13"/>
      <c r="G18" s="1"/>
      <c r="H18" s="17"/>
    </row>
    <row r="19" spans="1:8" x14ac:dyDescent="0.25">
      <c r="F19" s="13"/>
      <c r="G19" s="1"/>
      <c r="H19" s="17"/>
    </row>
    <row r="20" spans="1:8" x14ac:dyDescent="0.25">
      <c r="F20" s="13"/>
    </row>
    <row r="21" spans="1:8" x14ac:dyDescent="0.25">
      <c r="F2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G34"/>
  <sheetViews>
    <sheetView tabSelected="1" zoomScale="140" zoomScaleNormal="140" workbookViewId="0">
      <selection activeCell="B1" sqref="B1"/>
    </sheetView>
  </sheetViews>
  <sheetFormatPr defaultRowHeight="15" x14ac:dyDescent="0.25"/>
  <cols>
    <col min="2" max="2" width="17.85546875" bestFit="1" customWidth="1"/>
    <col min="6" max="6" width="8.140625" bestFit="1" customWidth="1"/>
  </cols>
  <sheetData>
    <row r="1" spans="1:7" x14ac:dyDescent="0.25">
      <c r="A1" t="s">
        <v>110</v>
      </c>
      <c r="B1" s="2" t="s">
        <v>111</v>
      </c>
    </row>
    <row r="3" spans="1:7" x14ac:dyDescent="0.25">
      <c r="A3" t="s">
        <v>107</v>
      </c>
      <c r="B3" s="1">
        <v>3278505600</v>
      </c>
      <c r="C3" t="s">
        <v>117</v>
      </c>
    </row>
    <row r="4" spans="1:7" x14ac:dyDescent="0.25">
      <c r="A4" s="10" t="s">
        <v>108</v>
      </c>
      <c r="B4" s="11">
        <v>1767366150</v>
      </c>
      <c r="C4" t="s">
        <v>112</v>
      </c>
    </row>
    <row r="5" spans="1:7" x14ac:dyDescent="0.25">
      <c r="A5" t="s">
        <v>109</v>
      </c>
      <c r="B5" s="12">
        <f>B3-B4</f>
        <v>1511139450</v>
      </c>
      <c r="C5" t="s">
        <v>113</v>
      </c>
    </row>
    <row r="7" spans="1:7" x14ac:dyDescent="0.25">
      <c r="A7" t="s">
        <v>115</v>
      </c>
      <c r="B7" s="13">
        <v>46021</v>
      </c>
    </row>
    <row r="8" spans="1:7" x14ac:dyDescent="0.25">
      <c r="B8" s="13"/>
    </row>
    <row r="9" spans="1:7" x14ac:dyDescent="0.25">
      <c r="C9" s="24" t="s">
        <v>151</v>
      </c>
      <c r="D9" s="25"/>
      <c r="E9" s="25"/>
    </row>
    <row r="10" spans="1:7" s="21" customFormat="1" ht="31.5" customHeight="1" x14ac:dyDescent="0.25">
      <c r="A10" s="21" t="s">
        <v>106</v>
      </c>
      <c r="B10" s="21" t="s">
        <v>114</v>
      </c>
      <c r="C10" s="21" t="s">
        <v>148</v>
      </c>
      <c r="D10" s="21" t="s">
        <v>149</v>
      </c>
      <c r="E10" s="21" t="s">
        <v>150</v>
      </c>
      <c r="F10" s="22" t="s">
        <v>116</v>
      </c>
      <c r="G10" s="23"/>
    </row>
    <row r="11" spans="1:7" x14ac:dyDescent="0.25">
      <c r="A11" s="5">
        <v>1</v>
      </c>
      <c r="B11" s="13">
        <v>46021</v>
      </c>
      <c r="C11" s="20">
        <v>0</v>
      </c>
      <c r="D11" s="20">
        <v>0</v>
      </c>
      <c r="E11" s="20">
        <v>0</v>
      </c>
      <c r="F11" s="7">
        <f>B11-$B$7</f>
        <v>0</v>
      </c>
      <c r="G11" s="5"/>
    </row>
    <row r="12" spans="1:7" x14ac:dyDescent="0.25">
      <c r="A12" s="5">
        <f>A11+1</f>
        <v>2</v>
      </c>
      <c r="B12" s="13">
        <v>46024</v>
      </c>
      <c r="C12" s="20">
        <v>0</v>
      </c>
      <c r="D12" s="20">
        <v>0.5</v>
      </c>
      <c r="E12" s="20">
        <v>0.5</v>
      </c>
      <c r="F12" s="7">
        <f>B12-$B$7</f>
        <v>3</v>
      </c>
      <c r="G12" s="5"/>
    </row>
    <row r="13" spans="1:7" x14ac:dyDescent="0.25">
      <c r="A13" s="5">
        <f t="shared" ref="A13:A28" si="0">A12+1</f>
        <v>3</v>
      </c>
      <c r="B13" s="13"/>
      <c r="C13" s="20"/>
      <c r="D13" s="20"/>
      <c r="E13" s="20"/>
      <c r="F13" s="7"/>
      <c r="G13" s="5"/>
    </row>
    <row r="14" spans="1:7" x14ac:dyDescent="0.25">
      <c r="A14" s="5">
        <f t="shared" si="0"/>
        <v>4</v>
      </c>
      <c r="B14" s="13"/>
      <c r="C14" s="20"/>
      <c r="D14" s="20"/>
      <c r="E14" s="20"/>
      <c r="F14" s="7"/>
      <c r="G14" s="5"/>
    </row>
    <row r="15" spans="1:7" x14ac:dyDescent="0.25">
      <c r="A15" s="5">
        <f t="shared" si="0"/>
        <v>5</v>
      </c>
      <c r="B15" s="13"/>
      <c r="C15" s="20"/>
      <c r="D15" s="20"/>
      <c r="E15" s="20"/>
      <c r="F15" s="7"/>
      <c r="G15" s="5"/>
    </row>
    <row r="16" spans="1:7" x14ac:dyDescent="0.25">
      <c r="A16" s="5">
        <f t="shared" si="0"/>
        <v>6</v>
      </c>
      <c r="B16" s="13"/>
      <c r="C16" s="20"/>
      <c r="D16" s="20"/>
      <c r="E16" s="20"/>
      <c r="F16" s="7"/>
      <c r="G16" s="5"/>
    </row>
    <row r="17" spans="1:7" x14ac:dyDescent="0.25">
      <c r="A17" s="5">
        <f t="shared" si="0"/>
        <v>7</v>
      </c>
      <c r="B17" s="13"/>
      <c r="C17" s="20"/>
      <c r="D17" s="20"/>
      <c r="E17" s="20"/>
      <c r="F17" s="7"/>
      <c r="G17" s="5"/>
    </row>
    <row r="18" spans="1:7" x14ac:dyDescent="0.25">
      <c r="A18" s="5">
        <f t="shared" si="0"/>
        <v>8</v>
      </c>
      <c r="B18" s="13"/>
      <c r="C18" s="20"/>
      <c r="D18" s="20"/>
      <c r="E18" s="20"/>
      <c r="F18" s="7"/>
      <c r="G18" s="5"/>
    </row>
    <row r="19" spans="1:7" x14ac:dyDescent="0.25">
      <c r="A19" s="5">
        <f t="shared" si="0"/>
        <v>9</v>
      </c>
      <c r="B19" s="13"/>
      <c r="C19" s="20"/>
      <c r="D19" s="20"/>
      <c r="E19" s="20"/>
      <c r="F19" s="7"/>
      <c r="G19" s="5"/>
    </row>
    <row r="20" spans="1:7" x14ac:dyDescent="0.25">
      <c r="A20" s="5">
        <f t="shared" si="0"/>
        <v>10</v>
      </c>
      <c r="B20" s="13"/>
      <c r="C20" s="20"/>
      <c r="D20" s="20"/>
      <c r="E20" s="20"/>
      <c r="F20" s="7"/>
      <c r="G20" s="5"/>
    </row>
    <row r="21" spans="1:7" x14ac:dyDescent="0.25">
      <c r="A21" s="5">
        <f t="shared" si="0"/>
        <v>11</v>
      </c>
      <c r="B21" s="13"/>
      <c r="C21" s="20"/>
      <c r="D21" s="20"/>
      <c r="E21" s="20"/>
      <c r="F21" s="7"/>
      <c r="G21" s="5"/>
    </row>
    <row r="22" spans="1:7" x14ac:dyDescent="0.25">
      <c r="A22" s="5">
        <f t="shared" si="0"/>
        <v>12</v>
      </c>
      <c r="B22" s="13"/>
      <c r="C22" s="20"/>
      <c r="D22" s="20"/>
      <c r="E22" s="20"/>
      <c r="F22" s="7"/>
      <c r="G22" s="5"/>
    </row>
    <row r="23" spans="1:7" x14ac:dyDescent="0.25">
      <c r="A23" s="5">
        <f t="shared" si="0"/>
        <v>13</v>
      </c>
      <c r="B23" s="13"/>
      <c r="C23" s="20"/>
      <c r="D23" s="20"/>
      <c r="E23" s="20"/>
      <c r="F23" s="7"/>
      <c r="G23" s="5"/>
    </row>
    <row r="24" spans="1:7" x14ac:dyDescent="0.25">
      <c r="A24" s="5">
        <f t="shared" si="0"/>
        <v>14</v>
      </c>
      <c r="B24" s="13"/>
      <c r="C24" s="20"/>
      <c r="D24" s="20"/>
      <c r="E24" s="20"/>
      <c r="F24" s="7"/>
      <c r="G24" s="5"/>
    </row>
    <row r="25" spans="1:7" x14ac:dyDescent="0.25">
      <c r="A25" s="5">
        <f t="shared" si="0"/>
        <v>15</v>
      </c>
      <c r="B25" s="13"/>
      <c r="C25" s="20"/>
      <c r="D25" s="20"/>
      <c r="E25" s="20"/>
      <c r="F25" s="7"/>
      <c r="G25" s="5"/>
    </row>
    <row r="26" spans="1:7" x14ac:dyDescent="0.25">
      <c r="A26" s="5">
        <f t="shared" si="0"/>
        <v>16</v>
      </c>
      <c r="B26" s="13"/>
      <c r="C26" s="20"/>
      <c r="D26" s="20"/>
      <c r="E26" s="20"/>
      <c r="F26" s="7"/>
      <c r="G26" s="5"/>
    </row>
    <row r="27" spans="1:7" x14ac:dyDescent="0.25">
      <c r="A27" s="5">
        <f t="shared" si="0"/>
        <v>17</v>
      </c>
      <c r="B27" s="13"/>
      <c r="C27" s="20"/>
      <c r="D27" s="20"/>
      <c r="E27" s="20"/>
      <c r="F27" s="7"/>
      <c r="G27" s="5"/>
    </row>
    <row r="28" spans="1:7" x14ac:dyDescent="0.25">
      <c r="A28" s="5">
        <f t="shared" si="0"/>
        <v>18</v>
      </c>
      <c r="B28" s="5"/>
      <c r="C28" s="20"/>
      <c r="D28" s="20"/>
      <c r="E28" s="20"/>
      <c r="F28" s="7"/>
      <c r="G28" s="5"/>
    </row>
    <row r="29" spans="1:7" x14ac:dyDescent="0.25">
      <c r="A29" s="5"/>
      <c r="B29" s="5"/>
      <c r="C29" s="5"/>
      <c r="D29" s="5"/>
      <c r="E29" s="5"/>
      <c r="F29" s="5"/>
      <c r="G29" s="5"/>
    </row>
    <row r="30" spans="1:7" x14ac:dyDescent="0.25">
      <c r="A30" s="5"/>
      <c r="B30" s="5"/>
      <c r="C30" s="5"/>
      <c r="D30" s="5"/>
      <c r="E30" s="5"/>
      <c r="F30" s="5"/>
      <c r="G30" s="5"/>
    </row>
    <row r="31" spans="1:7" x14ac:dyDescent="0.25">
      <c r="A31" s="5"/>
      <c r="B31" s="5"/>
      <c r="C31" s="5"/>
      <c r="D31" s="5"/>
      <c r="E31" s="5"/>
      <c r="F31" s="5"/>
      <c r="G31" s="5"/>
    </row>
    <row r="32" spans="1:7" x14ac:dyDescent="0.25">
      <c r="A32" s="5"/>
      <c r="B32" s="5"/>
      <c r="C32" s="5"/>
      <c r="D32" s="5"/>
      <c r="E32" s="5"/>
      <c r="F32" s="5"/>
      <c r="G32" s="5"/>
    </row>
    <row r="33" spans="1:7" x14ac:dyDescent="0.25">
      <c r="A33" s="5"/>
      <c r="B33" s="5"/>
      <c r="C33" s="5"/>
      <c r="D33" s="5"/>
      <c r="E33" s="5"/>
      <c r="F33" s="5"/>
      <c r="G33" s="5"/>
    </row>
    <row r="34" spans="1:7" x14ac:dyDescent="0.25">
      <c r="A34" s="5"/>
      <c r="B34" s="5"/>
      <c r="C34" s="5"/>
      <c r="D34" s="5"/>
      <c r="E34" s="5"/>
      <c r="F34" s="5"/>
      <c r="G34" s="5"/>
    </row>
  </sheetData>
  <mergeCells count="1">
    <mergeCell ref="C9:E9"/>
  </mergeCells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26" t="s">
        <v>76</v>
      </c>
      <c r="O8" s="26"/>
      <c r="P8" s="26"/>
      <c r="Q8" s="26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26"/>
      <c r="O9" s="26"/>
      <c r="P9" s="26"/>
      <c r="Q9" s="26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26"/>
      <c r="O10" s="26"/>
      <c r="P10" s="26"/>
      <c r="Q10" s="26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maths</vt:lpstr>
      <vt:lpstr>bom</vt:lpstr>
      <vt:lpstr>SNdataBase</vt:lpstr>
      <vt:lpstr>testing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2026-01-03T03:08:38Z</dcterms:modified>
</cp:coreProperties>
</file>