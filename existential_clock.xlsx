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CA24BD57-21A7-4B77-A541-0E81A9620C1A}" xr6:coauthVersionLast="47" xr6:coauthVersionMax="47" xr10:uidLastSave="{00000000-0000-0000-0000-000000000000}"/>
  <bookViews>
    <workbookView xWindow="-120" yWindow="-120" windowWidth="38640" windowHeight="21120" activeTab="2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G8" i="7"/>
  <c r="G6" i="7"/>
  <c r="G7" i="7"/>
  <c r="G5" i="7"/>
  <c r="D12" i="6"/>
  <c r="D21" i="2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9" i="1" a="1"/>
  <c r="C8" i="1" a="1"/>
  <c r="C2" i="1" a="1"/>
  <c r="C7" i="1" a="1"/>
  <c r="C10" i="1" a="1"/>
  <c r="C3" i="1" a="1"/>
  <c r="C4" i="1" a="1"/>
  <c r="D23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<sst xmlns="http://schemas.openxmlformats.org/spreadsheetml/2006/main" count="211" uniqueCount="151">
  <si>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</si>
  <si>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</si>
  <si>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</si>
  <si>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</si>
  <si>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</si>
  <si>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</si>
  <si>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</si>
  <si>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</si>
  <si>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</si>
  <si>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</si>
  <si>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</si>
  <si>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</si>
  <si>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</si>
  <si>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</si>
  <si>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</si>
  <si>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</si>
  <si>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</si>
  <si>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</si>
  <si>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</si>
  <si>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</si>
  <si>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</si>
  <si>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</si>
  <si>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</si>
  <si>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</si>
  <si>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</si>
  <si>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</si>
  <si>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</si>
  <si>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</si>
  <si>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</si>
  <si>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</si>
  <si>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</si>
  <si>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</si>
  <si>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</si>
  <si>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</si>
  <si>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</si>
  <si>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</si>
  <si>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</si>
  <si>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</si>
  <si>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</si>
  <si>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</si>
  <si>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</si>
  <si>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</si>
  <si>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</si>
  <si>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</si>
  <si>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</si>
  <si>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</si>
  <si>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</si>
  <si>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</si>
  <si>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</si>
  <si>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</si>
  <si>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</si>
  <si>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</si>
  <si>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</si>
  <si>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</si>
  <si>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</si>
  <si>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</si>
  <si>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</si>
  <si>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</si>
  <si>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</si>
  <si>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</si>
  <si>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</si>
  <si>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</si>
  <si>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</si>
  <si>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</si>
  <si>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</si>
  <si>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</si>
  <si>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</si>
  <si>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</si>
  <si>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</si>
  <si>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</si>
  <si>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</si>
  <si>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</si>
  <si>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</si>
  <si>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</si>
  <si>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</si>
  <si>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</si>
  <si>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</si>
  <si>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</si>
  <si>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</si>
  <si>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</si>
  <si>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</si>
  <si>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</si>
  <si>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</si>
  <si>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</si>
  <si>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</si>
  <si>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</si>
  <si>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</si>
  <si>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</si>
  <si>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</si>
  <si>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</si>
  <si>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</si>
  <si>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</si>
  <si>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</si>
  <si>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</si>
  <si>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</si>
  <si>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</si>
  <si>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</si>
  <si>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</si>
  <si>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</si>
  <si>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</si>
  <si>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</si>
  <si>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</si>
  <si>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</si>
  <si>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</si>
  <si>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</si>
  <si>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</si>
  <si>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</si>
  <si>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</si>
  <si>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</si>
  <si>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</si>
  <si>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</si>
  <si>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</si>
  <si>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</si>
  <si>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</si>
  <si>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</si>
  <si>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</si>
  <si>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</si>
  <si>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</si>
  <si>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</si>
  <si>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</si>
  <si>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</si>
  <si>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</si>
  <si>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</si>
  <si>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</si>
  <si>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</si>
  <si>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</si>
  <si>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</si>
  <si>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</si>
  <si>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</si>
  <si>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</si>
  <si>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</si>
  <si>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</si>
  <si>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</si>
  <si>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</si>
  <si>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</si>
  <si>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</si>
  <si>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</si>
  <si>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</si>
  <si>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div</t>
  </si>
  <si>
    <t>02</t>
  </si>
  <si>
    <t>remain</t>
  </si>
  <si>
    <t>LE</t>
  </si>
  <si>
    <t>&lt;-enter</t>
  </si>
  <si>
    <t>03</t>
  </si>
  <si>
    <t>danni</t>
  </si>
  <si>
    <t>04</t>
  </si>
  <si>
    <t>dad</t>
  </si>
  <si>
    <t>colour</t>
  </si>
  <si>
    <t>red</t>
  </si>
  <si>
    <t>white</t>
  </si>
  <si>
    <t>for issues per SN see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</si>
</sst>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0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5" fillId="0" borderId="0" xfId="1" applyNumberFormat="1" applyFont="1"/>
    <xf numFmtId="164" fontId="5" fillId="0" borderId="0" xfId="0" applyNumberFormat="1" applyFon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H22"/>
  <sheetViews>
    <sheetView tabSelected="1" zoomScale="130" zoomScaleNormal="130" workbookViewId="0">
      <selection activeCell="F19" sqref="F19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8.85546875" style="5" customWidth="1"/>
    <col min="5" max="5" width="14.42578125" style="5" bestFit="1" customWidth="1"/>
    <col min="6" max="7" width="15.140625" style="5" bestFit="1" customWidth="1"/>
    <col min="8" max="8" width="43" style="5" customWidth="1"/>
    <col min="9" max="16384" width="9.140625" style="5"/>
  </cols>
  <sheetData>
    <row r="1" spans="1:8" x14ac:dyDescent="0.25">
      <c r="A1" s="10" t="s">
        <v>108</v>
      </c>
      <c r="B1" s="11">
        <v>1766021700</v>
      </c>
      <c r="C1" t="s">
        <v>142</v>
      </c>
    </row>
    <row r="2" spans="1:8" x14ac:dyDescent="0.25">
      <c r="A2" s="6" t="s">
        <v>150</v>
      </c>
      <c r="C2"/>
    </row>
    <row r="4" spans="1:8" s="4" customFormat="1" x14ac:dyDescent="0.25">
      <c r="A4" s="4" t="s">
        <v>132</v>
      </c>
      <c r="B4" s="4" t="s">
        <v>147</v>
      </c>
      <c r="C4" s="4" t="s">
        <v>133</v>
      </c>
      <c r="D4" s="4" t="s">
        <v>141</v>
      </c>
      <c r="E4" s="4" t="s">
        <v>134</v>
      </c>
      <c r="F4" s="4" t="s">
        <v>135</v>
      </c>
      <c r="G4" s="4" t="s">
        <v>140</v>
      </c>
    </row>
    <row r="5" spans="1:8" x14ac:dyDescent="0.25">
      <c r="A5" s="17" t="s">
        <v>136</v>
      </c>
      <c r="B5" s="17" t="s">
        <v>148</v>
      </c>
      <c r="C5" s="5" t="s">
        <v>137</v>
      </c>
      <c r="D5" s="5">
        <v>83</v>
      </c>
      <c r="E5" s="13">
        <v>63515</v>
      </c>
      <c r="F5" s="1">
        <v>3278505600</v>
      </c>
      <c r="G5" s="18">
        <f>F5-$B$1</f>
        <v>1512483900</v>
      </c>
    </row>
    <row r="6" spans="1:8" x14ac:dyDescent="0.25">
      <c r="A6" s="17" t="s">
        <v>139</v>
      </c>
      <c r="B6" s="17" t="s">
        <v>148</v>
      </c>
      <c r="C6" s="5" t="s">
        <v>138</v>
      </c>
      <c r="D6" s="5">
        <v>70</v>
      </c>
      <c r="E6" s="13">
        <v>58062</v>
      </c>
      <c r="F6" s="1">
        <v>2807366400</v>
      </c>
      <c r="G6" s="18">
        <f>F6-$B$1</f>
        <v>1041344700</v>
      </c>
      <c r="H6" s="18"/>
    </row>
    <row r="7" spans="1:8" x14ac:dyDescent="0.25">
      <c r="A7" s="20" t="s">
        <v>143</v>
      </c>
      <c r="B7" s="20" t="s">
        <v>149</v>
      </c>
      <c r="C7" s="21" t="s">
        <v>144</v>
      </c>
      <c r="D7" s="21">
        <v>96</v>
      </c>
      <c r="E7" s="22">
        <v>68602</v>
      </c>
      <c r="F7" s="23">
        <v>3718022400</v>
      </c>
      <c r="G7" s="24">
        <f>F7-$B$1</f>
        <v>1952000700</v>
      </c>
    </row>
    <row r="8" spans="1:8" x14ac:dyDescent="0.25">
      <c r="A8" s="20" t="s">
        <v>145</v>
      </c>
      <c r="B8" s="20"/>
      <c r="C8" s="21" t="s">
        <v>146</v>
      </c>
      <c r="D8" s="21">
        <v>96</v>
      </c>
      <c r="E8" s="22">
        <v>56450</v>
      </c>
      <c r="F8" s="23">
        <v>2668089600</v>
      </c>
      <c r="G8" s="24">
        <f>F8-$B$1</f>
        <v>902067900</v>
      </c>
    </row>
    <row r="9" spans="1:8" x14ac:dyDescent="0.25">
      <c r="A9" s="17"/>
      <c r="B9" s="17"/>
      <c r="E9" s="13"/>
      <c r="F9" s="1"/>
      <c r="G9" s="18"/>
    </row>
    <row r="10" spans="1:8" x14ac:dyDescent="0.25">
      <c r="A10" s="17"/>
      <c r="B10" s="17"/>
      <c r="E10" s="13"/>
      <c r="F10" s="1"/>
      <c r="G10" s="18"/>
    </row>
    <row r="11" spans="1:8" x14ac:dyDescent="0.25">
      <c r="A11" s="17"/>
      <c r="B11" s="17"/>
      <c r="E11" s="13"/>
      <c r="F11" s="1"/>
      <c r="G11" s="18"/>
    </row>
    <row r="12" spans="1:8" x14ac:dyDescent="0.25">
      <c r="A12" s="17"/>
      <c r="B12" s="17"/>
      <c r="E12" s="13"/>
      <c r="F12" s="1"/>
      <c r="G12" s="18"/>
    </row>
    <row r="13" spans="1:8" x14ac:dyDescent="0.25">
      <c r="A13" s="17"/>
      <c r="B13" s="17"/>
      <c r="E13" s="13"/>
      <c r="F13" s="1"/>
      <c r="G13" s="18"/>
    </row>
    <row r="14" spans="1:8" x14ac:dyDescent="0.25">
      <c r="A14" s="17"/>
      <c r="B14" s="17"/>
      <c r="E14" s="13"/>
      <c r="F14" s="1"/>
      <c r="G14" s="18"/>
    </row>
    <row r="15" spans="1:8" x14ac:dyDescent="0.25">
      <c r="A15" s="17"/>
      <c r="B15" s="17"/>
      <c r="E15" s="13"/>
      <c r="F15" s="1"/>
      <c r="G15" s="18"/>
    </row>
    <row r="16" spans="1:8" x14ac:dyDescent="0.25">
      <c r="A16" s="17"/>
      <c r="B16" s="17"/>
      <c r="E16" s="13"/>
      <c r="F16" s="1"/>
      <c r="G16" s="18"/>
    </row>
    <row r="17" spans="1:7" x14ac:dyDescent="0.25">
      <c r="A17" s="17"/>
      <c r="B17" s="17"/>
      <c r="E17" s="13"/>
      <c r="F17" s="1"/>
      <c r="G17" s="18"/>
    </row>
    <row r="18" spans="1:7" x14ac:dyDescent="0.25">
      <c r="A18" s="17"/>
      <c r="B18" s="17"/>
      <c r="E18" s="13"/>
      <c r="F18" s="1"/>
      <c r="G18" s="18"/>
    </row>
    <row r="19" spans="1:7" x14ac:dyDescent="0.25">
      <c r="E19" s="13"/>
      <c r="F19" s="1"/>
      <c r="G19" s="18"/>
    </row>
    <row r="20" spans="1:7" x14ac:dyDescent="0.25">
      <c r="E20" s="13"/>
      <c r="F20" s="1"/>
      <c r="G20" s="18"/>
    </row>
    <row r="21" spans="1:7" x14ac:dyDescent="0.25">
      <c r="E21" s="13"/>
    </row>
    <row r="22" spans="1:7" x14ac:dyDescent="0.25">
      <c r="E22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zoomScale="140" zoomScaleNormal="140" workbookViewId="0">
      <selection activeCell="E6" sqref="E6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1766114280</v>
      </c>
      <c r="C4" t="s">
        <v>112</v>
      </c>
    </row>
    <row r="5" spans="1:5" x14ac:dyDescent="0.25">
      <c r="A5" t="s">
        <v>109</v>
      </c>
      <c r="B5" s="12">
        <f>B3-B4</f>
        <v>1512391320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:D13" si="0">B11-$B$7</f>
        <v>1</v>
      </c>
      <c r="E11" s="5"/>
    </row>
    <row r="12" spans="1:5" x14ac:dyDescent="0.25">
      <c r="A12" s="5">
        <f t="shared" ref="A12:A27" si="1">A11+1</f>
        <v>3</v>
      </c>
      <c r="B12" s="13">
        <v>46009</v>
      </c>
      <c r="C12" s="5">
        <v>0</v>
      </c>
      <c r="D12" s="7">
        <f t="shared" si="0"/>
        <v>3</v>
      </c>
      <c r="E12" s="5"/>
    </row>
    <row r="13" spans="1:5" x14ac:dyDescent="0.25">
      <c r="A13" s="5">
        <f t="shared" si="1"/>
        <v>4</v>
      </c>
      <c r="B13" s="13">
        <v>46010</v>
      </c>
      <c r="C13" s="5">
        <v>0</v>
      </c>
      <c r="D13" s="7">
        <f t="shared" si="0"/>
        <v>4</v>
      </c>
      <c r="E13" s="5"/>
    </row>
    <row r="14" spans="1:5" x14ac:dyDescent="0.25">
      <c r="A14" s="5">
        <f t="shared" si="1"/>
        <v>5</v>
      </c>
      <c r="B14" s="13"/>
      <c r="C14" s="5"/>
      <c r="D14" s="7"/>
      <c r="E14" s="5"/>
    </row>
    <row r="15" spans="1:5" x14ac:dyDescent="0.25">
      <c r="A15" s="5">
        <f t="shared" si="1"/>
        <v>6</v>
      </c>
      <c r="B15" s="13"/>
      <c r="C15" s="5"/>
      <c r="D15" s="7"/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9" t="s">
        <v>76</v>
      </c>
      <c r="O8" s="19"/>
      <c r="P8" s="19"/>
      <c r="Q8" s="19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9"/>
      <c r="O9" s="19"/>
      <c r="P9" s="19"/>
      <c r="Q9" s="19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9"/>
      <c r="O10" s="19"/>
      <c r="P10" s="19"/>
      <c r="Q10" s="19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2025-12-19T04:14:21Z</dcterms:modified>
</cp:coreProperties>
</file>