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8FA180E2-E06D-417B-8CA8-15C952F7B6B7}" xr6:coauthVersionLast="47" xr6:coauthVersionMax="47" xr10:uidLastSave="{00000000-0000-0000-0000-000000000000}"/>
  <bookViews>
    <workbookView xWindow="-120" yWindow="-120" windowWidth="38640" windowHeight="21120" activeTab="1" xr2:uid="{40828F16-29DA-45C9-A086-6FC10EDDC1B2}"/>
  </bookViews>
  <sheets>
    <sheet name="maths" sheetId="1" r:id="rId1"/>
    <sheet name="bom" sheetId="2" r:id="rId2"/>
    <sheet name="pinou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D10" i="2"/>
  <c r="D11" i="2"/>
  <c r="D12" i="2"/>
  <c r="D7" i="2"/>
  <c r="D6" i="2"/>
  <c r="D3" i="2"/>
  <c r="D4" i="2"/>
  <c r="D5" i="2"/>
  <c r="D2" i="2"/>
  <c r="B15" i="1"/>
  <c r="B4" i="1"/>
  <c r="B7" i="1" s="1"/>
  <c r="B8" i="1" s="1"/>
  <c r="B9" i="1" s="1"/>
  <c r="B10" i="1" s="1"/>
  <c r="C8" i="1" a="1"/>
  <c r="C3" i="1" a="1"/>
  <c r="C9" i="1" a="1"/>
  <c r="C10" i="1" a="1"/>
  <c r="C2" i="1" a="1"/>
  <c r="C4" i="1" a="1"/>
  <c r="C7" i="1" a="1"/>
  <c r="D24" i="2" l="1"/>
  <c r="C10" i="1"/>
  <c r="C9" i="1"/>
  <c r="C7" i="1"/>
  <c r="C4" i="1"/>
  <c r="C8" i="1"/>
  <c r="C3" i="1"/>
  <c r="C2" i="1"/>
  <c r="B5" i="1"/>
  <c r="B6" i="1"/>
  <c r="C5" i="1" a="1"/>
  <c r="C6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<sst xmlns="http://schemas.openxmlformats.org/spreadsheetml/2006/main" count="134" uniqueCount="86">
  <si>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</si>
  <si>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</si>
  <si>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</si>
  <si>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</si>
  <si>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</si>
  <si>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</si>
  <si>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</si>
  <si>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</si>
  <si>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</si>
  <si>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</si>
  <si>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</si>
  <si>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</si>
  <si>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</si>
  <si>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</si>
  <si>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</si>
  <si>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</si>
  <si>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</si>
  <si>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</si>
  <si>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</si>
  <si>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</si>
  <si>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</si>
  <si>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</si>
  <si>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</si>
  <si>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</si>
  <si>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</si>
  <si>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</si>
  <si>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</si>
  <si>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</si>
  <si>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</si>
  <si>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</si>
  <si>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pull down resistor (nano pin D10)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</si>
  <si>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</si>
  <si>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</si>
  <si>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</si>
  <si>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</si>
  <si>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</si>
  <si>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</si>
  <si>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</si>
  <si>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</si>
  <si>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</si>
  <si>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</si>
  <si>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</si>
  <si>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</si>
  <si>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</si>
  <si>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</si>
  <si>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</si>
  <si>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</si>
  <si>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</si>
  <si>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</si>
  <si>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</si>
  <si>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</si>
  <si>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</si>
  <si>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</si>
  <si>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</si>
  <si>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</si>
  <si>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</si>
  <si>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</si>
  <si>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</si>
  <si>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</si>
  <si>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</si>
  <si>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</si>
  <si>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</si>
  <si>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</si>
  <si>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</si>
  <si>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</si>
  <si>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</si>
  <si>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</si>
  <si>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</si>
  <si>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</si>
  <si>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</si>
  <si>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</si>
  <si>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</si>
  <si>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</si>
  <si>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</si>
  <si>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</si>
  <si>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</si>
  <si>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</si>
  <si>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</si>
  <si>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</si>
  <si>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electrolytic capacitor (1 per driver IC) = 10uF</t>
  </si>
  <si>
    <t>resistors (current limiting 1 per driver IC) = 10k</t>
  </si>
  <si>
    <t>cermaic capacitor (1 per driver IC) = 0.1uF = 100nf = "104"</t>
  </si>
  <si>
    <t>m3x3 threaded inserts (to fasten pcb to case)</t>
  </si>
  <si>
    <t>m3x6mm bolts  (to fasten pcb to case)</t>
  </si>
  <si>
    <t>m3 washers (to space pcb to case front)</t>
  </si>
  <si>
    <t>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</si>
</sst>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B18" sqref="B18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4"/>
  <sheetViews>
    <sheetView tabSelected="1" zoomScale="130" zoomScaleNormal="130" workbookViewId="0">
      <selection activeCell="E17" sqref="E17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x14ac:dyDescent="0.25">
      <c r="A2" t="s">
        <v>24</v>
      </c>
      <c r="B2" s="3">
        <v>0.68</v>
      </c>
      <c r="C2" s="5">
        <v>1</v>
      </c>
      <c r="D2" s="3">
        <f>B2*C2</f>
        <v>0.68</v>
      </c>
      <c r="E2" s="2" t="s">
        <v>25</v>
      </c>
    </row>
    <row r="3" spans="1:5" x14ac:dyDescent="0.25">
      <c r="A3" t="s">
        <v>17</v>
      </c>
      <c r="B3" s="3">
        <v>4.67</v>
      </c>
      <c r="C3" s="5">
        <v>1</v>
      </c>
      <c r="D3" s="3">
        <f t="shared" ref="D3:D12" si="0">B3*C3</f>
        <v>4.67</v>
      </c>
    </row>
    <row r="4" spans="1:5" x14ac:dyDescent="0.25">
      <c r="A4" t="s">
        <v>18</v>
      </c>
      <c r="B4" s="3">
        <v>17.5</v>
      </c>
      <c r="C4" s="5">
        <v>1</v>
      </c>
      <c r="D4" s="3">
        <f t="shared" si="0"/>
        <v>17.5</v>
      </c>
      <c r="E4" s="2" t="s">
        <v>19</v>
      </c>
    </row>
    <row r="5" spans="1:5" x14ac:dyDescent="0.25">
      <c r="A5" t="s">
        <v>20</v>
      </c>
      <c r="B5" s="3">
        <v>2.56</v>
      </c>
      <c r="C5" s="5">
        <v>1</v>
      </c>
      <c r="D5" s="3">
        <f t="shared" si="0"/>
        <v>2.56</v>
      </c>
      <c r="E5" s="2" t="s">
        <v>21</v>
      </c>
    </row>
    <row r="6" spans="1:5" x14ac:dyDescent="0.25">
      <c r="A6" t="s">
        <v>23</v>
      </c>
      <c r="B6" s="3">
        <v>0.64</v>
      </c>
      <c r="C6" s="5">
        <v>3</v>
      </c>
      <c r="D6" s="3">
        <f t="shared" si="0"/>
        <v>1.92</v>
      </c>
      <c r="E6" s="2" t="s">
        <v>27</v>
      </c>
    </row>
    <row r="7" spans="1:5" x14ac:dyDescent="0.25">
      <c r="A7" t="s">
        <v>28</v>
      </c>
      <c r="B7" s="3">
        <v>1.99</v>
      </c>
      <c r="C7" s="5">
        <v>2</v>
      </c>
      <c r="D7" s="3">
        <f t="shared" si="0"/>
        <v>3.98</v>
      </c>
      <c r="E7" s="2" t="s">
        <v>29</v>
      </c>
    </row>
    <row r="8" spans="1:5" x14ac:dyDescent="0.25">
      <c r="B8" s="3"/>
      <c r="D8" s="3"/>
    </row>
    <row r="9" spans="1:5" x14ac:dyDescent="0.25">
      <c r="A9" t="s">
        <v>81</v>
      </c>
      <c r="B9" s="3">
        <v>0</v>
      </c>
      <c r="C9" s="5">
        <v>2</v>
      </c>
      <c r="D9" s="3">
        <f t="shared" si="0"/>
        <v>0</v>
      </c>
    </row>
    <row r="10" spans="1:5" x14ac:dyDescent="0.25">
      <c r="A10" t="s">
        <v>79</v>
      </c>
      <c r="B10" s="3">
        <v>0</v>
      </c>
      <c r="C10" s="5">
        <v>2</v>
      </c>
      <c r="D10" s="3">
        <f t="shared" si="0"/>
        <v>0</v>
      </c>
    </row>
    <row r="11" spans="1:5" x14ac:dyDescent="0.25">
      <c r="A11" t="s">
        <v>80</v>
      </c>
      <c r="B11" s="3">
        <v>0</v>
      </c>
      <c r="C11" s="5">
        <v>2</v>
      </c>
      <c r="D11" s="3">
        <f t="shared" si="0"/>
        <v>0</v>
      </c>
    </row>
    <row r="12" spans="1:5" x14ac:dyDescent="0.25">
      <c r="A12" t="s">
        <v>30</v>
      </c>
      <c r="B12" s="3">
        <v>0</v>
      </c>
      <c r="C12" s="5">
        <v>1</v>
      </c>
      <c r="D12" s="3">
        <f t="shared" si="0"/>
        <v>0</v>
      </c>
    </row>
    <row r="13" spans="1:5" x14ac:dyDescent="0.25">
      <c r="B13" s="3"/>
      <c r="D13" s="3"/>
    </row>
    <row r="14" spans="1:5" x14ac:dyDescent="0.25">
      <c r="B14" s="3"/>
      <c r="D14" s="3"/>
    </row>
    <row r="15" spans="1:5" x14ac:dyDescent="0.25">
      <c r="A15" t="s">
        <v>82</v>
      </c>
      <c r="B15" s="3"/>
      <c r="C15" s="5">
        <v>4</v>
      </c>
      <c r="D15" s="3"/>
    </row>
    <row r="16" spans="1:5" x14ac:dyDescent="0.25">
      <c r="A16" t="s">
        <v>83</v>
      </c>
      <c r="B16" s="3"/>
      <c r="C16" s="5">
        <v>4</v>
      </c>
      <c r="D16" s="3"/>
    </row>
    <row r="17" spans="1:4" x14ac:dyDescent="0.25">
      <c r="A17" t="s">
        <v>84</v>
      </c>
      <c r="B17" s="3"/>
      <c r="C17" s="5" t="s">
        <v>85</v>
      </c>
      <c r="D17" s="3"/>
    </row>
    <row r="18" spans="1:4" x14ac:dyDescent="0.25">
      <c r="B18" s="3"/>
      <c r="D18" s="3"/>
    </row>
    <row r="19" spans="1:4" x14ac:dyDescent="0.25">
      <c r="B19" s="3"/>
      <c r="D19" s="3"/>
    </row>
    <row r="20" spans="1:4" x14ac:dyDescent="0.25">
      <c r="B20" s="3"/>
      <c r="D20" s="3"/>
    </row>
    <row r="21" spans="1:4" x14ac:dyDescent="0.25">
      <c r="B21" s="3"/>
      <c r="D21" s="3"/>
    </row>
    <row r="22" spans="1:4" x14ac:dyDescent="0.25">
      <c r="B22" s="3"/>
      <c r="D22" s="3"/>
    </row>
    <row r="23" spans="1:4" x14ac:dyDescent="0.25">
      <c r="B23" s="3"/>
      <c r="D23" s="3"/>
    </row>
    <row r="24" spans="1:4" x14ac:dyDescent="0.25">
      <c r="A24" t="s">
        <v>16</v>
      </c>
      <c r="B24" s="3"/>
      <c r="D24" s="3">
        <f>SUM(D2:D23)</f>
        <v>31.31</v>
      </c>
    </row>
  </sheetData>
  <hyperlinks>
    <hyperlink ref="E2" r:id="rId1" xr:uid="{A2CF861E-888C-4EF4-9753-1710C2F854D9}"/>
    <hyperlink ref="E4" r:id="rId2" xr:uid="{E6DA3233-8172-4A24-9A3D-7A2A4EBE0699}"/>
    <hyperlink ref="E5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6" r:id="rId4" xr:uid="{AE7470A6-37D7-4AE1-8F36-D4BF7E2DDAAD}"/>
    <hyperlink ref="E7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K10" sqref="K10"/>
    </sheetView>
  </sheetViews>
  <sheetFormatPr defaultRowHeight="15" x14ac:dyDescent="0.25"/>
  <sheetData>
    <row r="2" spans="1:19" x14ac:dyDescent="0.25">
      <c r="A2" t="s">
        <v>31</v>
      </c>
      <c r="M2" t="s">
        <v>78</v>
      </c>
    </row>
    <row r="3" spans="1:19" x14ac:dyDescent="0.25">
      <c r="A3" t="s">
        <v>32</v>
      </c>
    </row>
    <row r="5" spans="1:19" x14ac:dyDescent="0.25">
      <c r="A5" t="s">
        <v>33</v>
      </c>
      <c r="B5" t="s">
        <v>42</v>
      </c>
      <c r="C5" t="s">
        <v>43</v>
      </c>
      <c r="E5" t="s">
        <v>52</v>
      </c>
      <c r="F5" t="s">
        <v>53</v>
      </c>
    </row>
    <row r="6" spans="1:19" x14ac:dyDescent="0.25">
      <c r="A6" t="s">
        <v>34</v>
      </c>
      <c r="B6" t="s">
        <v>44</v>
      </c>
      <c r="C6" t="s">
        <v>44</v>
      </c>
      <c r="E6" t="s">
        <v>34</v>
      </c>
      <c r="F6" t="s">
        <v>44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35</v>
      </c>
      <c r="B7" t="s">
        <v>45</v>
      </c>
      <c r="C7" t="s">
        <v>45</v>
      </c>
      <c r="E7" t="s">
        <v>35</v>
      </c>
      <c r="F7" t="s">
        <v>45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36</v>
      </c>
      <c r="B8" t="s">
        <v>46</v>
      </c>
      <c r="C8" t="s">
        <v>46</v>
      </c>
      <c r="E8" t="s">
        <v>36</v>
      </c>
      <c r="F8" t="s">
        <v>46</v>
      </c>
      <c r="M8" s="5"/>
      <c r="N8" s="6" t="s">
        <v>77</v>
      </c>
      <c r="O8" s="6"/>
      <c r="P8" s="6"/>
      <c r="Q8" s="6"/>
      <c r="R8" s="5"/>
      <c r="S8" s="5"/>
    </row>
    <row r="9" spans="1:19" x14ac:dyDescent="0.25">
      <c r="A9" t="s">
        <v>37</v>
      </c>
      <c r="B9" t="s">
        <v>47</v>
      </c>
      <c r="C9" t="s">
        <v>47</v>
      </c>
      <c r="E9" t="s">
        <v>37</v>
      </c>
      <c r="F9" t="s">
        <v>47</v>
      </c>
      <c r="M9" s="5"/>
      <c r="N9" s="6"/>
      <c r="O9" s="6"/>
      <c r="P9" s="6"/>
      <c r="Q9" s="6"/>
      <c r="R9" s="5"/>
      <c r="S9" s="5"/>
    </row>
    <row r="10" spans="1:19" x14ac:dyDescent="0.25">
      <c r="A10" t="s">
        <v>38</v>
      </c>
      <c r="B10" t="s">
        <v>48</v>
      </c>
      <c r="C10" t="s">
        <v>48</v>
      </c>
      <c r="E10" t="s">
        <v>38</v>
      </c>
      <c r="F10" t="s">
        <v>48</v>
      </c>
      <c r="M10" s="5"/>
      <c r="N10" s="6"/>
      <c r="O10" s="6"/>
      <c r="P10" s="6"/>
      <c r="Q10" s="6"/>
      <c r="R10" s="5"/>
      <c r="S10" s="5"/>
    </row>
    <row r="11" spans="1:19" x14ac:dyDescent="0.25">
      <c r="A11" t="s">
        <v>39</v>
      </c>
      <c r="B11" t="s">
        <v>49</v>
      </c>
      <c r="C11" t="s">
        <v>49</v>
      </c>
      <c r="E11" t="s">
        <v>39</v>
      </c>
      <c r="F11" t="s">
        <v>49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40</v>
      </c>
      <c r="B12" t="s">
        <v>50</v>
      </c>
      <c r="C12" t="s">
        <v>50</v>
      </c>
      <c r="E12" t="s">
        <v>40</v>
      </c>
      <c r="F12" t="s">
        <v>50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41</v>
      </c>
      <c r="B13" t="s">
        <v>51</v>
      </c>
      <c r="C13" t="s">
        <v>51</v>
      </c>
      <c r="E13" t="s">
        <v>41</v>
      </c>
      <c r="F13" t="s">
        <v>51</v>
      </c>
    </row>
    <row r="15" spans="1:19" x14ac:dyDescent="0.25">
      <c r="A15" t="s">
        <v>54</v>
      </c>
    </row>
    <row r="16" spans="1:19" x14ac:dyDescent="0.25">
      <c r="A16" t="s">
        <v>55</v>
      </c>
    </row>
    <row r="17" spans="1:6" x14ac:dyDescent="0.25">
      <c r="A17" t="s">
        <v>56</v>
      </c>
    </row>
    <row r="18" spans="1:6" x14ac:dyDescent="0.25">
      <c r="A18" t="s">
        <v>57</v>
      </c>
    </row>
    <row r="20" spans="1:6" x14ac:dyDescent="0.25">
      <c r="A20" t="s">
        <v>33</v>
      </c>
      <c r="B20" t="s">
        <v>42</v>
      </c>
      <c r="C20" t="s">
        <v>43</v>
      </c>
      <c r="E20" t="s">
        <v>52</v>
      </c>
      <c r="F20" t="s">
        <v>53</v>
      </c>
    </row>
    <row r="21" spans="1:6" x14ac:dyDescent="0.25">
      <c r="A21" t="s">
        <v>58</v>
      </c>
      <c r="B21" t="s">
        <v>66</v>
      </c>
      <c r="E21" t="s">
        <v>58</v>
      </c>
      <c r="F21" t="s">
        <v>66</v>
      </c>
    </row>
    <row r="22" spans="1:6" x14ac:dyDescent="0.25">
      <c r="A22" t="s">
        <v>59</v>
      </c>
      <c r="B22" t="s">
        <v>67</v>
      </c>
      <c r="E22" t="s">
        <v>59</v>
      </c>
      <c r="F22" t="s">
        <v>67</v>
      </c>
    </row>
    <row r="23" spans="1:6" x14ac:dyDescent="0.25">
      <c r="A23" t="s">
        <v>60</v>
      </c>
      <c r="B23" t="s">
        <v>68</v>
      </c>
      <c r="E23" t="s">
        <v>60</v>
      </c>
      <c r="F23" t="s">
        <v>68</v>
      </c>
    </row>
    <row r="24" spans="1:6" x14ac:dyDescent="0.25">
      <c r="A24" t="s">
        <v>61</v>
      </c>
      <c r="B24" t="s">
        <v>69</v>
      </c>
      <c r="E24" t="s">
        <v>61</v>
      </c>
      <c r="F24" t="s">
        <v>69</v>
      </c>
    </row>
    <row r="25" spans="1:6" x14ac:dyDescent="0.25">
      <c r="A25" t="s">
        <v>62</v>
      </c>
      <c r="C25" t="s">
        <v>66</v>
      </c>
      <c r="E25" t="s">
        <v>62</v>
      </c>
    </row>
    <row r="26" spans="1:6" x14ac:dyDescent="0.25">
      <c r="A26" t="s">
        <v>63</v>
      </c>
      <c r="C26" t="s">
        <v>67</v>
      </c>
      <c r="E26" t="s">
        <v>63</v>
      </c>
    </row>
    <row r="27" spans="1:6" x14ac:dyDescent="0.25">
      <c r="A27" t="s">
        <v>64</v>
      </c>
      <c r="C27" t="s">
        <v>68</v>
      </c>
      <c r="E27" t="s">
        <v>64</v>
      </c>
    </row>
    <row r="28" spans="1:6" x14ac:dyDescent="0.25">
      <c r="A28" t="s">
        <v>65</v>
      </c>
      <c r="C28" t="s">
        <v>69</v>
      </c>
      <c r="E28" t="s">
        <v>65</v>
      </c>
    </row>
    <row r="30" spans="1:6" x14ac:dyDescent="0.25">
      <c r="A30" t="s">
        <v>70</v>
      </c>
    </row>
    <row r="31" spans="1:6" x14ac:dyDescent="0.25">
      <c r="A31" t="s">
        <v>71</v>
      </c>
    </row>
    <row r="32" spans="1:6" x14ac:dyDescent="0.25">
      <c r="A32" t="s">
        <v>72</v>
      </c>
    </row>
    <row r="34" spans="1:3" x14ac:dyDescent="0.25">
      <c r="A34" t="s">
        <v>73</v>
      </c>
      <c r="B34" t="s">
        <v>33</v>
      </c>
      <c r="C34" t="s">
        <v>52</v>
      </c>
    </row>
    <row r="35" spans="1:3" x14ac:dyDescent="0.25">
      <c r="A35" t="s">
        <v>74</v>
      </c>
      <c r="B35" t="s">
        <v>75</v>
      </c>
    </row>
    <row r="36" spans="1:3" x14ac:dyDescent="0.25">
      <c r="B36" t="s">
        <v>76</v>
      </c>
      <c r="C36" t="s">
        <v>75</v>
      </c>
    </row>
  </sheetData>
  <mergeCells count="1">
    <mergeCell ref="N8:Q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maths</vt:lpstr>
      <vt:lpstr>bom</vt:lpstr>
      <vt:lpstr>pinout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2025-11-19T13:50:58Z</dcterms:modified>
</cp:coreProperties>
</file>