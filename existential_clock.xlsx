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25AF4275-5B6D-42C1-811D-512992434A0F}" xr6:coauthVersionLast="47" xr6:coauthVersionMax="47" xr10:uidLastSave="{00000000-0000-0000-0000-000000000000}"/>
  <bookViews>
    <workbookView xWindow="-120" yWindow="-120" windowWidth="38640" windowHeight="21120" activeTab="2" xr2:uid="{40828F16-29DA-45C9-A086-6FC10EDDC1B2}"/>
  </bookViews>
  <sheets>
    <sheet name="maths" sheetId="1" r:id="rId1"/>
    <sheet name="bom" sheetId="2" r:id="rId2"/>
    <sheet name="SNdataBase" sheetId="7" r:id="rId3"/>
    <sheet name="testing" sheetId="6" r:id="rId4"/>
    <sheet name="pinout" sheetId="3" r:id="rId5"/>
    <sheet name="wiring" sheetId="4" r:id="rId6"/>
    <sheet name="power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7" l="1"/>
  <c r="G5" i="7"/>
  <c r="G6" i="7"/>
  <c r="G4" i="7"/>
  <c r="D12" i="6"/>
  <c r="D21" i="2"/>
  <c r="D20" i="2"/>
  <c r="D19" i="2"/>
  <c r="D18" i="2"/>
  <c r="D2" i="2"/>
  <c r="D3" i="2"/>
  <c r="D11" i="6"/>
  <c r="C23" i="2"/>
  <c r="D14" i="2"/>
  <c r="D15" i="2"/>
  <c r="D16" i="2"/>
  <c r="D17" i="2"/>
  <c r="D13" i="2"/>
  <c r="D10" i="6"/>
  <c r="A11" i="6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8" i="1" a="1"/>
  <c r="C9" i="1" a="1"/>
  <c r="C2" i="1" a="1"/>
  <c r="C10" i="1" a="1"/>
  <c r="C4" i="1" a="1"/>
  <c r="C3" i="1" a="1"/>
  <c r="C7" i="1" a="1"/>
  <c r="D23" i="2" l="1"/>
  <c r="C10" i="1"/>
  <c r="C9" i="1"/>
  <c r="C7" i="1"/>
  <c r="C4" i="1"/>
  <c r="C8" i="1"/>
  <c r="C3" i="1"/>
  <c r="C2" i="1"/>
  <c r="B5" i="1"/>
  <c r="B6" i="1"/>
  <c r="C6" i="1" a="1"/>
  <c r="C5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<sst xmlns="http://schemas.openxmlformats.org/spreadsheetml/2006/main" count="210" uniqueCount="150">
  <si>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</si>
  <si>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</si>
  <si>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</si>
  <si>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</si>
  <si>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</si>
  <si>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</si>
  <si>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</si>
  <si>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</si>
  <si>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</si>
  <si>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</si>
  <si>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</si>
  <si>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</si>
  <si>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</si>
  <si>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</si>
  <si>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</si>
  <si>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</si>
  <si>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</si>
  <si>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</si>
  <si>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</si>
  <si>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</si>
  <si>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</si>
  <si>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</si>
  <si>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</si>
  <si>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</si>
  <si>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</si>
  <si>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</si>
  <si>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</si>
  <si>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</si>
  <si>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</si>
  <si>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</si>
  <si>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</si>
  <si>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</si>
  <si>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</si>
  <si>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</si>
  <si>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</si>
  <si>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</si>
  <si>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</si>
  <si>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</si>
  <si>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</si>
  <si>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</si>
  <si>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</si>
  <si>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</si>
  <si>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</si>
  <si>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</si>
  <si>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</si>
  <si>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</si>
  <si>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</si>
  <si>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</si>
  <si>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</si>
  <si>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</si>
  <si>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</si>
  <si>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</si>
  <si>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</si>
  <si>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</si>
  <si>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</si>
  <si>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</si>
  <si>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</si>
  <si>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</si>
  <si>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</si>
  <si>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</si>
  <si>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</si>
  <si>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</si>
  <si>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</si>
  <si>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</si>
  <si>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</si>
  <si>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</si>
  <si>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</si>
  <si>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</si>
  <si>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</si>
  <si>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</si>
  <si>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</si>
  <si>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</si>
  <si>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</si>
  <si>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</si>
  <si>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</si>
  <si>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</si>
  <si>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</si>
  <si>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</si>
  <si>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</si>
  <si>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</si>
  <si>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</si>
  <si>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</si>
  <si>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</si>
  <si>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</si>
  <si>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</si>
  <si>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</si>
  <si>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</si>
  <si>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</si>
  <si>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</si>
  <si>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</si>
  <si>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</si>
  <si>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</si>
  <si>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</si>
  <si>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</si>
  <si>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</si>
  <si>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</si>
  <si>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</si>
  <si>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</si>
  <si>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</si>
  <si>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</si>
  <si>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</si>
  <si>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</si>
  <si>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</si>
  <si>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</si>
  <si>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</si>
  <si>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</si>
  <si>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</si>
  <si>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</si>
  <si>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</si>
  <si>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</si>
  <si>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</si>
  <si>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</si>
  <si>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</si>
  <si>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</si>
  <si>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</si>
  <si>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delta (s)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</si>
  <si>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</si>
  <si>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</si>
  <si>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</si>
  <si>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</si>
  <si>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</si>
  <si>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</si>
  <si>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</si>
  <si>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</si>
  <si>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</si>
  <si>
    <t>JST HX 2.54mm 5 pin connection wire (display PCB to control PCB)</t>
  </si>
  <si>
    <t>JST HX 2.54mm 2 pin connection wire (USB-C to control board)</t>
  </si>
  <si>
    <t xml:space="preserve">JST HX 5 pin male </t>
  </si>
  <si>
    <t xml:space="preserve">JST HX 2 pin male </t>
  </si>
  <si>
    <t>https://www.amazon.com/dp/B0CM315RFP?ref=ppx_yo2ov_dt_b_fed_asin_title</t>
  </si>
  <si>
    <t>https://www.amazon.com/dp/B07G99NNXL?ref=ppx_yo2ov_dt_b_fed_asin_title</t>
  </si>
  <si>
    <t>https://cnckitchen.store/products/heat-set-insert-m3-x-3-short-version-100-pieces</t>
  </si>
  <si>
    <t>SN</t>
  </si>
  <si>
    <t>owner</t>
  </si>
  <si>
    <t>deathDate</t>
  </si>
  <si>
    <t>unixTime</t>
  </si>
  <si>
    <t>01</t>
  </si>
  <si>
    <t>ali</t>
  </si>
  <si>
    <t>div</t>
  </si>
  <si>
    <t>02</t>
  </si>
  <si>
    <t>remain</t>
  </si>
  <si>
    <t>LE</t>
  </si>
  <si>
    <t>&lt;-enter</t>
  </si>
  <si>
    <t>03</t>
  </si>
  <si>
    <t>danni</t>
  </si>
  <si>
    <t>04</t>
  </si>
  <si>
    <t>dad</t>
  </si>
  <si>
    <t>colour</t>
  </si>
  <si>
    <t>red</t>
  </si>
  <si>
    <t>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</si>
</sst>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 applyAlignment="1">
      <alignment horizontal="center"/>
    </xf>
    <xf numFmtId="44" fontId="2" fillId="0" borderId="0" xfId="2" applyFont="1"/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3"/>
  <sheetViews>
    <sheetView zoomScale="130" zoomScaleNormal="130" workbookViewId="0">
      <selection activeCell="A14" sqref="A14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123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124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5.33</v>
      </c>
      <c r="C5" s="5">
        <v>1</v>
      </c>
      <c r="D5" s="3">
        <f t="shared" ref="D5:D12" si="1">B5*C5</f>
        <v>5.33</v>
      </c>
      <c r="E5" t="s">
        <v>130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121</v>
      </c>
      <c r="B13" s="3">
        <v>0.11</v>
      </c>
      <c r="C13" s="5">
        <v>10</v>
      </c>
      <c r="D13" s="3">
        <f>C13*B13</f>
        <v>1.1000000000000001</v>
      </c>
      <c r="E13" t="s">
        <v>131</v>
      </c>
    </row>
    <row r="14" spans="1:5" x14ac:dyDescent="0.25">
      <c r="A14" t="s">
        <v>120</v>
      </c>
      <c r="B14" s="3">
        <v>0.04</v>
      </c>
      <c r="C14" s="5">
        <v>4</v>
      </c>
      <c r="D14" s="3">
        <f t="shared" ref="D14:D21" si="2">C14*B14</f>
        <v>0.16</v>
      </c>
    </row>
    <row r="15" spans="1:5" x14ac:dyDescent="0.25">
      <c r="A15" t="s">
        <v>119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5" x14ac:dyDescent="0.25">
      <c r="A17" t="s">
        <v>122</v>
      </c>
      <c r="B17" s="3">
        <v>0.04</v>
      </c>
      <c r="C17" s="5">
        <v>2</v>
      </c>
      <c r="D17" s="3">
        <f t="shared" si="2"/>
        <v>0.08</v>
      </c>
    </row>
    <row r="18" spans="1:5" x14ac:dyDescent="0.25">
      <c r="A18" t="s">
        <v>125</v>
      </c>
      <c r="B18" s="3">
        <v>1</v>
      </c>
      <c r="C18" s="5">
        <v>1</v>
      </c>
      <c r="D18" s="3">
        <f t="shared" si="2"/>
        <v>1</v>
      </c>
      <c r="E18" t="s">
        <v>129</v>
      </c>
    </row>
    <row r="19" spans="1:5" x14ac:dyDescent="0.25">
      <c r="A19" t="s">
        <v>126</v>
      </c>
      <c r="B19" s="3">
        <v>0.5</v>
      </c>
      <c r="C19" s="5">
        <v>1</v>
      </c>
      <c r="D19" s="3">
        <f t="shared" si="2"/>
        <v>0.5</v>
      </c>
      <c r="E19" t="s">
        <v>129</v>
      </c>
    </row>
    <row r="20" spans="1:5" x14ac:dyDescent="0.25">
      <c r="A20" t="s">
        <v>127</v>
      </c>
      <c r="B20" s="3">
        <v>0.15</v>
      </c>
      <c r="C20" s="5">
        <v>2</v>
      </c>
      <c r="D20" s="3">
        <f t="shared" si="2"/>
        <v>0.3</v>
      </c>
      <c r="E20" t="s">
        <v>129</v>
      </c>
    </row>
    <row r="21" spans="1:5" x14ac:dyDescent="0.25">
      <c r="A21" t="s">
        <v>128</v>
      </c>
      <c r="B21" s="3">
        <v>0.15</v>
      </c>
      <c r="C21" s="5">
        <v>2</v>
      </c>
      <c r="D21" s="3">
        <f t="shared" si="2"/>
        <v>0.3</v>
      </c>
      <c r="E21" t="s">
        <v>129</v>
      </c>
    </row>
    <row r="22" spans="1:5" x14ac:dyDescent="0.25">
      <c r="B22" s="3"/>
      <c r="D22" s="3"/>
    </row>
    <row r="23" spans="1:5" s="14" customFormat="1" x14ac:dyDescent="0.25">
      <c r="A23" s="14" t="s">
        <v>16</v>
      </c>
      <c r="B23" s="16"/>
      <c r="C23" s="4">
        <f>SUM(C4:C17)</f>
        <v>34</v>
      </c>
      <c r="D23" s="16">
        <f>SUM(D4:D22)</f>
        <v>35.569999999999979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D4C4D-67F5-47E1-835A-1F494C96898F}">
  <dimension ref="A1:H21"/>
  <sheetViews>
    <sheetView tabSelected="1" zoomScale="130" zoomScaleNormal="130" workbookViewId="0">
      <selection activeCell="D13" sqref="D13"/>
    </sheetView>
  </sheetViews>
  <sheetFormatPr defaultRowHeight="15" x14ac:dyDescent="0.25"/>
  <cols>
    <col min="1" max="1" width="9.140625" style="5"/>
    <col min="2" max="2" width="15.140625" style="5" bestFit="1" customWidth="1"/>
    <col min="3" max="3" width="9" style="5" customWidth="1"/>
    <col min="4" max="4" width="8.85546875" style="5" customWidth="1"/>
    <col min="5" max="5" width="14.42578125" style="5" bestFit="1" customWidth="1"/>
    <col min="6" max="8" width="15.140625" style="5" bestFit="1" customWidth="1"/>
    <col min="9" max="16384" width="9.140625" style="5"/>
  </cols>
  <sheetData>
    <row r="1" spans="1:8" x14ac:dyDescent="0.25">
      <c r="A1" s="10" t="s">
        <v>108</v>
      </c>
      <c r="B1" s="11">
        <v>1766021700</v>
      </c>
      <c r="C1" t="s">
        <v>142</v>
      </c>
    </row>
    <row r="3" spans="1:8" s="4" customFormat="1" x14ac:dyDescent="0.25">
      <c r="A3" s="4" t="s">
        <v>132</v>
      </c>
      <c r="B3" s="4" t="s">
        <v>147</v>
      </c>
      <c r="C3" s="4" t="s">
        <v>133</v>
      </c>
      <c r="D3" s="4" t="s">
        <v>141</v>
      </c>
      <c r="E3" s="4" t="s">
        <v>134</v>
      </c>
      <c r="F3" s="4" t="s">
        <v>135</v>
      </c>
      <c r="G3" s="4" t="s">
        <v>140</v>
      </c>
    </row>
    <row r="4" spans="1:8" x14ac:dyDescent="0.25">
      <c r="A4" s="17" t="s">
        <v>136</v>
      </c>
      <c r="B4" s="17" t="s">
        <v>148</v>
      </c>
      <c r="C4" s="5" t="s">
        <v>137</v>
      </c>
      <c r="D4" s="5">
        <v>83</v>
      </c>
      <c r="E4" s="13">
        <v>63515</v>
      </c>
      <c r="F4" s="1">
        <v>3278505600</v>
      </c>
      <c r="G4" s="18">
        <f>F4-$B$1</f>
        <v>1512483900</v>
      </c>
    </row>
    <row r="5" spans="1:8" x14ac:dyDescent="0.25">
      <c r="A5" s="17" t="s">
        <v>139</v>
      </c>
      <c r="B5" s="17" t="s">
        <v>148</v>
      </c>
      <c r="C5" s="5" t="s">
        <v>138</v>
      </c>
      <c r="D5" s="5">
        <v>70</v>
      </c>
      <c r="E5" s="13">
        <v>58062</v>
      </c>
      <c r="F5" s="1">
        <v>2807366400</v>
      </c>
      <c r="G5" s="18">
        <f>F5-$B$1</f>
        <v>1041344700</v>
      </c>
      <c r="H5" s="18"/>
    </row>
    <row r="6" spans="1:8" x14ac:dyDescent="0.25">
      <c r="A6" s="17" t="s">
        <v>143</v>
      </c>
      <c r="B6" s="17" t="s">
        <v>149</v>
      </c>
      <c r="C6" s="5" t="s">
        <v>144</v>
      </c>
      <c r="D6" s="5">
        <v>96</v>
      </c>
      <c r="E6" s="13">
        <v>68602</v>
      </c>
      <c r="F6" s="1">
        <v>3718022400</v>
      </c>
      <c r="G6" s="18">
        <f>F6-$B$1</f>
        <v>1952000700</v>
      </c>
    </row>
    <row r="7" spans="1:8" x14ac:dyDescent="0.25">
      <c r="A7" s="17" t="s">
        <v>145</v>
      </c>
      <c r="B7" s="17"/>
      <c r="C7" s="5" t="s">
        <v>146</v>
      </c>
      <c r="D7" s="5">
        <v>96</v>
      </c>
      <c r="E7" s="13">
        <v>56450</v>
      </c>
      <c r="F7" s="1">
        <v>2668089600</v>
      </c>
      <c r="G7" s="18">
        <f>F7-$B$1</f>
        <v>902067900</v>
      </c>
    </row>
    <row r="8" spans="1:8" x14ac:dyDescent="0.25">
      <c r="A8" s="17"/>
      <c r="B8" s="17"/>
      <c r="E8" s="13"/>
      <c r="F8" s="1"/>
      <c r="G8" s="18"/>
    </row>
    <row r="9" spans="1:8" x14ac:dyDescent="0.25">
      <c r="A9" s="17"/>
      <c r="B9" s="17"/>
      <c r="E9" s="13"/>
      <c r="F9" s="1"/>
      <c r="G9" s="18"/>
    </row>
    <row r="10" spans="1:8" x14ac:dyDescent="0.25">
      <c r="A10" s="17"/>
      <c r="B10" s="17"/>
      <c r="E10" s="13"/>
      <c r="F10" s="1"/>
      <c r="G10" s="18"/>
    </row>
    <row r="11" spans="1:8" x14ac:dyDescent="0.25">
      <c r="A11" s="17"/>
      <c r="B11" s="17"/>
      <c r="E11" s="13"/>
      <c r="F11" s="1"/>
      <c r="G11" s="18"/>
    </row>
    <row r="12" spans="1:8" x14ac:dyDescent="0.25">
      <c r="A12" s="17"/>
      <c r="B12" s="17"/>
      <c r="E12" s="13"/>
      <c r="F12" s="1"/>
      <c r="G12" s="18"/>
    </row>
    <row r="13" spans="1:8" x14ac:dyDescent="0.25">
      <c r="A13" s="17"/>
      <c r="B13" s="17"/>
      <c r="E13" s="13"/>
      <c r="F13" s="1"/>
      <c r="G13" s="18"/>
    </row>
    <row r="14" spans="1:8" x14ac:dyDescent="0.25">
      <c r="A14" s="17"/>
      <c r="B14" s="17"/>
      <c r="E14" s="13"/>
      <c r="F14" s="1"/>
      <c r="G14" s="18"/>
    </row>
    <row r="15" spans="1:8" x14ac:dyDescent="0.25">
      <c r="A15" s="17"/>
      <c r="B15" s="17"/>
      <c r="E15" s="13"/>
      <c r="F15" s="1"/>
      <c r="G15" s="18"/>
    </row>
    <row r="16" spans="1:8" x14ac:dyDescent="0.25">
      <c r="A16" s="17"/>
      <c r="B16" s="17"/>
      <c r="E16" s="13"/>
      <c r="F16" s="1"/>
      <c r="G16" s="18"/>
    </row>
    <row r="17" spans="1:7" x14ac:dyDescent="0.25">
      <c r="A17" s="17"/>
      <c r="B17" s="17"/>
      <c r="E17" s="13"/>
      <c r="F17" s="1"/>
      <c r="G17" s="18"/>
    </row>
    <row r="18" spans="1:7" x14ac:dyDescent="0.25">
      <c r="E18" s="13"/>
      <c r="F18" s="1"/>
      <c r="G18" s="18"/>
    </row>
    <row r="19" spans="1:7" x14ac:dyDescent="0.25">
      <c r="E19" s="13"/>
      <c r="F19" s="1"/>
      <c r="G19" s="18"/>
    </row>
    <row r="20" spans="1:7" x14ac:dyDescent="0.25">
      <c r="E20" s="13"/>
    </row>
    <row r="21" spans="1:7" x14ac:dyDescent="0.25">
      <c r="E2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E33"/>
  <sheetViews>
    <sheetView zoomScale="140" zoomScaleNormal="140" workbookViewId="0">
      <selection activeCell="B3" sqref="B3"/>
    </sheetView>
  </sheetViews>
  <sheetFormatPr defaultRowHeight="15" x14ac:dyDescent="0.25"/>
  <cols>
    <col min="2" max="2" width="17.85546875" bestFit="1" customWidth="1"/>
    <col min="4" max="4" width="14.28515625" bestFit="1" customWidth="1"/>
  </cols>
  <sheetData>
    <row r="1" spans="1:5" x14ac:dyDescent="0.25">
      <c r="A1" t="s">
        <v>110</v>
      </c>
      <c r="B1" s="2" t="s">
        <v>111</v>
      </c>
    </row>
    <row r="3" spans="1:5" x14ac:dyDescent="0.25">
      <c r="A3" t="s">
        <v>107</v>
      </c>
      <c r="B3" s="1">
        <v>3278505600</v>
      </c>
      <c r="C3" t="s">
        <v>118</v>
      </c>
    </row>
    <row r="4" spans="1:5" x14ac:dyDescent="0.25">
      <c r="A4" s="10" t="s">
        <v>108</v>
      </c>
      <c r="B4" s="11">
        <v>1766021700</v>
      </c>
      <c r="C4" t="s">
        <v>112</v>
      </c>
    </row>
    <row r="5" spans="1:5" x14ac:dyDescent="0.25">
      <c r="A5" t="s">
        <v>109</v>
      </c>
      <c r="B5" s="12">
        <f>B3-B4</f>
        <v>1512483900</v>
      </c>
      <c r="C5" t="s">
        <v>113</v>
      </c>
    </row>
    <row r="7" spans="1:5" x14ac:dyDescent="0.25">
      <c r="A7" t="s">
        <v>116</v>
      </c>
      <c r="B7" s="13">
        <v>46006</v>
      </c>
    </row>
    <row r="9" spans="1:5" s="14" customFormat="1" x14ac:dyDescent="0.25">
      <c r="A9" s="4" t="s">
        <v>106</v>
      </c>
      <c r="B9" s="4" t="s">
        <v>114</v>
      </c>
      <c r="C9" s="4" t="s">
        <v>115</v>
      </c>
      <c r="D9" s="4" t="s">
        <v>117</v>
      </c>
      <c r="E9" s="15"/>
    </row>
    <row r="10" spans="1:5" x14ac:dyDescent="0.25">
      <c r="A10" s="5">
        <v>1</v>
      </c>
      <c r="B10" s="13">
        <v>46006</v>
      </c>
      <c r="C10" s="5">
        <v>0</v>
      </c>
      <c r="D10" s="7">
        <f>B10-$B$7</f>
        <v>0</v>
      </c>
      <c r="E10" s="5"/>
    </row>
    <row r="11" spans="1:5" x14ac:dyDescent="0.25">
      <c r="A11" s="5">
        <f>A10+1</f>
        <v>2</v>
      </c>
      <c r="B11" s="13">
        <v>46007</v>
      </c>
      <c r="C11" s="5">
        <v>0</v>
      </c>
      <c r="D11" s="7">
        <f t="shared" ref="D11:D12" si="0">B11-$B$7</f>
        <v>1</v>
      </c>
      <c r="E11" s="5"/>
    </row>
    <row r="12" spans="1:5" x14ac:dyDescent="0.25">
      <c r="A12" s="5">
        <f t="shared" ref="A12:A27" si="1">A11+1</f>
        <v>3</v>
      </c>
      <c r="B12" s="13">
        <v>46009</v>
      </c>
      <c r="C12" s="5">
        <v>0</v>
      </c>
      <c r="D12" s="7">
        <f t="shared" si="0"/>
        <v>3</v>
      </c>
      <c r="E12" s="5"/>
    </row>
    <row r="13" spans="1:5" x14ac:dyDescent="0.25">
      <c r="A13" s="5">
        <f t="shared" si="1"/>
        <v>4</v>
      </c>
      <c r="B13" s="13"/>
      <c r="C13" s="5"/>
      <c r="D13" s="7"/>
      <c r="E13" s="5"/>
    </row>
    <row r="14" spans="1:5" x14ac:dyDescent="0.25">
      <c r="A14" s="5">
        <f t="shared" si="1"/>
        <v>5</v>
      </c>
      <c r="B14" s="13"/>
      <c r="C14" s="5"/>
      <c r="D14" s="7"/>
      <c r="E14" s="5"/>
    </row>
    <row r="15" spans="1:5" x14ac:dyDescent="0.25">
      <c r="A15" s="5">
        <f t="shared" si="1"/>
        <v>6</v>
      </c>
      <c r="B15" s="13"/>
      <c r="C15" s="5"/>
      <c r="D15" s="7"/>
      <c r="E15" s="5"/>
    </row>
    <row r="16" spans="1:5" x14ac:dyDescent="0.25">
      <c r="A16" s="5">
        <f t="shared" si="1"/>
        <v>7</v>
      </c>
      <c r="B16" s="13"/>
      <c r="C16" s="5"/>
      <c r="D16" s="7"/>
      <c r="E16" s="5"/>
    </row>
    <row r="17" spans="1:5" x14ac:dyDescent="0.25">
      <c r="A17" s="5">
        <f t="shared" si="1"/>
        <v>8</v>
      </c>
      <c r="B17" s="13"/>
      <c r="C17" s="5"/>
      <c r="D17" s="7"/>
      <c r="E17" s="5"/>
    </row>
    <row r="18" spans="1:5" x14ac:dyDescent="0.25">
      <c r="A18" s="5">
        <f t="shared" si="1"/>
        <v>9</v>
      </c>
      <c r="B18" s="13"/>
      <c r="C18" s="5"/>
      <c r="D18" s="7"/>
      <c r="E18" s="5"/>
    </row>
    <row r="19" spans="1:5" x14ac:dyDescent="0.25">
      <c r="A19" s="5">
        <f t="shared" si="1"/>
        <v>10</v>
      </c>
      <c r="B19" s="13"/>
      <c r="C19" s="5"/>
      <c r="D19" s="7"/>
      <c r="E19" s="5"/>
    </row>
    <row r="20" spans="1:5" x14ac:dyDescent="0.25">
      <c r="A20" s="5">
        <f t="shared" si="1"/>
        <v>11</v>
      </c>
      <c r="B20" s="13"/>
      <c r="C20" s="5"/>
      <c r="D20" s="7"/>
      <c r="E20" s="5"/>
    </row>
    <row r="21" spans="1:5" x14ac:dyDescent="0.25">
      <c r="A21" s="5">
        <f t="shared" si="1"/>
        <v>12</v>
      </c>
      <c r="B21" s="13"/>
      <c r="C21" s="5"/>
      <c r="D21" s="7"/>
      <c r="E21" s="5"/>
    </row>
    <row r="22" spans="1:5" x14ac:dyDescent="0.25">
      <c r="A22" s="5">
        <f t="shared" si="1"/>
        <v>13</v>
      </c>
      <c r="B22" s="13"/>
      <c r="C22" s="5"/>
      <c r="D22" s="7"/>
      <c r="E22" s="5"/>
    </row>
    <row r="23" spans="1:5" x14ac:dyDescent="0.25">
      <c r="A23" s="5">
        <f t="shared" si="1"/>
        <v>14</v>
      </c>
      <c r="B23" s="13"/>
      <c r="C23" s="5"/>
      <c r="D23" s="7"/>
      <c r="E23" s="5"/>
    </row>
    <row r="24" spans="1:5" x14ac:dyDescent="0.25">
      <c r="A24" s="5">
        <f t="shared" si="1"/>
        <v>15</v>
      </c>
      <c r="B24" s="13"/>
      <c r="C24" s="5"/>
      <c r="D24" s="7"/>
      <c r="E24" s="5"/>
    </row>
    <row r="25" spans="1:5" x14ac:dyDescent="0.25">
      <c r="A25" s="5">
        <f t="shared" si="1"/>
        <v>16</v>
      </c>
      <c r="B25" s="13"/>
      <c r="C25" s="5"/>
      <c r="D25" s="7"/>
      <c r="E25" s="5"/>
    </row>
    <row r="26" spans="1:5" x14ac:dyDescent="0.25">
      <c r="A26" s="5">
        <f t="shared" si="1"/>
        <v>17</v>
      </c>
      <c r="B26" s="13"/>
      <c r="C26" s="5"/>
      <c r="D26" s="7"/>
      <c r="E26" s="5"/>
    </row>
    <row r="27" spans="1:5" x14ac:dyDescent="0.25">
      <c r="A27" s="5">
        <f t="shared" si="1"/>
        <v>18</v>
      </c>
      <c r="B27" s="5"/>
      <c r="C27" s="5"/>
      <c r="D27" s="7"/>
      <c r="E27" s="5"/>
    </row>
    <row r="28" spans="1:5" x14ac:dyDescent="0.25">
      <c r="A28" s="5"/>
      <c r="B28" s="5"/>
      <c r="C28" s="5"/>
      <c r="D28" s="5"/>
      <c r="E28" s="5"/>
    </row>
    <row r="29" spans="1:5" x14ac:dyDescent="0.25">
      <c r="A29" s="5"/>
      <c r="B29" s="5"/>
      <c r="C29" s="5"/>
      <c r="D29" s="5"/>
      <c r="E29" s="5"/>
    </row>
    <row r="30" spans="1:5" x14ac:dyDescent="0.25">
      <c r="A30" s="5"/>
      <c r="B30" s="5"/>
      <c r="C30" s="5"/>
      <c r="D30" s="5"/>
      <c r="E30" s="5"/>
    </row>
    <row r="31" spans="1:5" x14ac:dyDescent="0.25">
      <c r="A31" s="5"/>
      <c r="B31" s="5"/>
      <c r="C31" s="5"/>
      <c r="D31" s="5"/>
      <c r="E31" s="5"/>
    </row>
    <row r="32" spans="1:5" x14ac:dyDescent="0.25">
      <c r="A32" s="5"/>
      <c r="B32" s="5"/>
      <c r="C32" s="5"/>
      <c r="D32" s="5"/>
      <c r="E32" s="5"/>
    </row>
    <row r="33" spans="1:5" x14ac:dyDescent="0.25">
      <c r="A33" s="5"/>
      <c r="B33" s="5"/>
      <c r="C33" s="5"/>
      <c r="D33" s="5"/>
      <c r="E33" s="5"/>
    </row>
  </sheetData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19" t="s">
        <v>76</v>
      </c>
      <c r="O8" s="19"/>
      <c r="P8" s="19"/>
      <c r="Q8" s="19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19"/>
      <c r="O9" s="19"/>
      <c r="P9" s="19"/>
      <c r="Q9" s="19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19"/>
      <c r="O10" s="19"/>
      <c r="P10" s="19"/>
      <c r="Q10" s="19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maths</vt:lpstr>
      <vt:lpstr>bom</vt:lpstr>
      <vt:lpstr>SNdataBase</vt:lpstr>
      <vt:lpstr>testing</vt:lpstr>
      <vt:lpstr>pinout</vt:lpstr>
      <vt:lpstr>wiring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2025-12-18T03:44:41Z</dcterms:modified>
</cp:coreProperties>
</file>