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Existential-Clock\"/>
    </mc:Choice>
  </mc:AlternateContent>
  <xr:revisionPtr revIDLastSave="0" documentId="13_ncr:1_{D459EB5D-E5C6-48BF-ADB5-69BA634839F3}" xr6:coauthVersionLast="47" xr6:coauthVersionMax="47" xr10:uidLastSave="{00000000-0000-0000-0000-000000000000}"/>
  <bookViews>
    <workbookView xWindow="-105" yWindow="0" windowWidth="19410" windowHeight="20985" activeTab="3" xr2:uid="{40828F16-29DA-45C9-A086-6FC10EDDC1B2}"/>
  </bookViews>
  <sheets>
    <sheet name="maths" sheetId="1" r:id="rId1"/>
    <sheet name="bom" sheetId="2" r:id="rId2"/>
    <sheet name="dataBase" sheetId="7" r:id="rId3"/>
    <sheet name="printing" sheetId="8" r:id="rId4"/>
    <sheet name="testing" sheetId="6" r:id="rId5"/>
    <sheet name="pinout" sheetId="3" r:id="rId6"/>
    <sheet name="wiring" sheetId="4" r:id="rId7"/>
    <sheet name="power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6" l="1"/>
  <c r="F11" i="6"/>
  <c r="H7" i="7"/>
  <c r="H6" i="7"/>
  <c r="H5" i="7"/>
  <c r="D21" i="2"/>
  <c r="D20" i="2"/>
  <c r="D19" i="2"/>
  <c r="D18" i="2"/>
  <c r="D2" i="2"/>
  <c r="D3" i="2"/>
  <c r="C23" i="2"/>
  <c r="D14" i="2"/>
  <c r="D15" i="2"/>
  <c r="D16" i="2"/>
  <c r="D17" i="2"/>
  <c r="D13" i="2"/>
  <c r="A12" i="6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B5" i="6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5" i="5"/>
  <c r="A7" i="5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6" i="5"/>
  <c r="D10" i="2"/>
  <c r="D11" i="2"/>
  <c r="D12" i="2"/>
  <c r="D9" i="2"/>
  <c r="D8" i="2"/>
  <c r="D5" i="2"/>
  <c r="D6" i="2"/>
  <c r="D7" i="2"/>
  <c r="D4" i="2"/>
  <c r="B15" i="1"/>
  <c r="B4" i="1"/>
  <c r="B7" i="1" s="1"/>
  <c r="B8" i="1" s="1"/>
  <c r="B9" i="1" s="1"/>
  <c r="B10" i="1" s="1"/>
  <c r="C3" i="1" a="1"/>
  <c r="C4" i="1" a="1"/>
  <c r="C9" i="1" a="1"/>
  <c r="C10" i="1" a="1"/>
  <c r="C7" i="1" a="1"/>
  <c r="C2" i="1" a="1"/>
  <c r="C8" i="1" a="1"/>
  <c r="D23" i="2" l="1"/>
  <c r="C10" i="1"/>
  <c r="C9" i="1"/>
  <c r="C7" i="1"/>
  <c r="C4" i="1"/>
  <c r="C8" i="1"/>
  <c r="C3" i="1"/>
  <c r="C2" i="1"/>
  <c r="B5" i="1"/>
  <c r="B6" i="1"/>
  <c r="C5" i="1" a="1"/>
  <c r="C6" i="1" a="1"/>
  <c r="C6" i="1" l="1"/>
  <c r="C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<sst xmlns="http://schemas.openxmlformats.org/spreadsheetml/2006/main" count="225" uniqueCount="160">
  <si>
    <t>age</t>
  </si>
  <si>
    <t>MAOD</t>
  </si>
  <si>
    <t>summers</t>
  </si>
  <si>
    <t>years</t>
  </si>
  <si>
    <t>months</t>
  </si>
  <si>
    <t>days</t>
  </si>
  <si>
    <t>hours</t>
  </si>
  <si>
    <t>minutes</t>
  </si>
  <si>
    <t>seconds</t>
  </si>
  <si>
    <t>digits</t>
  </si>
  <si>
    <t>value</t>
  </si>
  <si>
    <t>type</t>
  </si>
  <si>
    <t>part</t>
  </si>
  <si>
    <t>qty</t>
  </si>
  <si>
    <t>total</t>
  </si>
  <si>
    <t>link</t>
  </si>
  <si>
    <t>total cost</t>
  </si>
  <si>
    <t>arduino nano clone</t>
  </si>
  <si>
    <t>Adafruit DS3231 Precision RTC Breakout</t>
  </si>
  <si>
    <t>https://www.adafruit.com/product/3013?srsltid=AfmBOorY5_5bFqTH8Gmqvp4xZocum8U0b0bRwiaDY5xZqLUaMxEYaVcX</t>
  </si>
  <si>
    <t>CR1220 3V Lithium Coin Cell</t>
  </si>
  <si>
    <t>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</t>
  </si>
  <si>
    <t>death</t>
  </si>
  <si>
    <t>Red 4 Common Cathode 0.36 Through Hole LED Character and Numeric RoHS</t>
  </si>
  <si>
    <t>USB TYPE-C conversion board 2.54MM CC1 CC2 5.1K pull-down resistor connection</t>
  </si>
  <si>
    <t>https://www.aliexpress.com/item/1005005777382409.html?spm=a2g0o.order_list.order_list_main.11.48fd1802CWoXaq</t>
  </si>
  <si>
    <t>USD</t>
  </si>
  <si>
    <t>https://www.lcsc.com/product-detail/C10708.html</t>
  </si>
  <si>
    <t>MAX7219CNG 7-segment display drivers</t>
  </si>
  <si>
    <t>https://www.amazon.com/dp/B0BK6XC4P8?ref=ppx_yo2ov_dt_b_fed_asin_title</t>
  </si>
  <si>
    <t>SEGMENTS</t>
  </si>
  <si>
    <t>each driver connects its segment driver pin to both segment pins on the display baords e.g. SEGA-&gt;a</t>
  </si>
  <si>
    <t>U1</t>
  </si>
  <si>
    <t>SEGA</t>
  </si>
  <si>
    <t>SEGB</t>
  </si>
  <si>
    <t>SEGC</t>
  </si>
  <si>
    <t>SEGD</t>
  </si>
  <si>
    <t>SEGE</t>
  </si>
  <si>
    <t>SEGF</t>
  </si>
  <si>
    <t>SEGG</t>
  </si>
  <si>
    <t>SEGDP</t>
  </si>
  <si>
    <t>DISP1</t>
  </si>
  <si>
    <t>DISP2</t>
  </si>
  <si>
    <t>a</t>
  </si>
  <si>
    <t>b</t>
  </si>
  <si>
    <t>c</t>
  </si>
  <si>
    <t>d</t>
  </si>
  <si>
    <t>e</t>
  </si>
  <si>
    <t>f</t>
  </si>
  <si>
    <t>g</t>
  </si>
  <si>
    <t>dp</t>
  </si>
  <si>
    <t>U2</t>
  </si>
  <si>
    <t>DISP3</t>
  </si>
  <si>
    <t>DIGITS</t>
  </si>
  <si>
    <t>Each driver connects its digit pins to the G pins of the display baords</t>
  </si>
  <si>
    <t>Note the drivers go from DIG0-DIG7 = can drive max 8 segments</t>
  </si>
  <si>
    <t>Corresponding G pins start at 1 so connections staggered by 1</t>
  </si>
  <si>
    <t>DIG0</t>
  </si>
  <si>
    <t>DIG1</t>
  </si>
  <si>
    <t>DIG2</t>
  </si>
  <si>
    <t>DIG3</t>
  </si>
  <si>
    <t>DIG4</t>
  </si>
  <si>
    <t>DIG5</t>
  </si>
  <si>
    <t>DIG6</t>
  </si>
  <si>
    <t>DIG7</t>
  </si>
  <si>
    <t>G1</t>
  </si>
  <si>
    <t>G2</t>
  </si>
  <si>
    <t>G3</t>
  </si>
  <si>
    <t>G4</t>
  </si>
  <si>
    <t>DATA</t>
  </si>
  <si>
    <t>Arduino -&gt; header -&gt; U1_DIN -U1_DOUT -&gt; U2_DIN</t>
  </si>
  <si>
    <t>Data flows from Arduino to first driver then out to second driver</t>
  </si>
  <si>
    <t>header</t>
  </si>
  <si>
    <t>pin 3</t>
  </si>
  <si>
    <t>DIN</t>
  </si>
  <si>
    <t>DOUT</t>
  </si>
  <si>
    <t>FRONT</t>
  </si>
  <si>
    <t>7-SEGMENT DISPLAY PINOUT</t>
  </si>
  <si>
    <t>resistors (current limiting 1 per driver IC) = 10k</t>
  </si>
  <si>
    <t>cermaic capacitor (1 per driver IC) = 0.1uF = 100nf = "104"</t>
  </si>
  <si>
    <t>Arduino</t>
  </si>
  <si>
    <t>USB-C</t>
  </si>
  <si>
    <t>5V</t>
  </si>
  <si>
    <t>5V rail</t>
  </si>
  <si>
    <t>GND rail</t>
  </si>
  <si>
    <t>RTC</t>
  </si>
  <si>
    <t>DISP</t>
  </si>
  <si>
    <t>GND</t>
  </si>
  <si>
    <t>VBUS</t>
  </si>
  <si>
    <t>VCC</t>
  </si>
  <si>
    <t>A5</t>
  </si>
  <si>
    <t>SCL</t>
  </si>
  <si>
    <t>A4</t>
  </si>
  <si>
    <t>SDA</t>
  </si>
  <si>
    <t>D7</t>
  </si>
  <si>
    <t>D6</t>
  </si>
  <si>
    <t>CLK</t>
  </si>
  <si>
    <t>D5</t>
  </si>
  <si>
    <t>CS</t>
  </si>
  <si>
    <t>m3x6mm bolts  (to fasten back and front case together)</t>
  </si>
  <si>
    <t>electrolytic capacitor (at main power supply) = 10uF</t>
  </si>
  <si>
    <t>Red 7 segment</t>
  </si>
  <si>
    <t>brightness</t>
  </si>
  <si>
    <t>I (mA)</t>
  </si>
  <si>
    <t>P (mW)</t>
  </si>
  <si>
    <t>V (V)</t>
  </si>
  <si>
    <t>check ID</t>
  </si>
  <si>
    <t>death:</t>
  </si>
  <si>
    <t>now:</t>
  </si>
  <si>
    <t>delta:</t>
  </si>
  <si>
    <t>go to:</t>
  </si>
  <si>
    <t>https://www.unixtimestamp.com/</t>
  </si>
  <si>
    <t>enter this value</t>
  </si>
  <si>
    <t>this should be the display</t>
  </si>
  <si>
    <t>date</t>
  </si>
  <si>
    <t>start:</t>
  </si>
  <si>
    <t>up-time (days)</t>
  </si>
  <si>
    <t>DateTime deathTime value from code</t>
  </si>
  <si>
    <t>m3x6mm bolts  (to fasten USB-C breakout to case)</t>
  </si>
  <si>
    <t>m3x6mm bolts  (to fasten DISPLAY pcb to case)</t>
  </si>
  <si>
    <t xml:space="preserve">m3x3mm threaded inserts </t>
  </si>
  <si>
    <t>m3x5mm bolts  (to fasten CONTROL pcb to case)</t>
  </si>
  <si>
    <t>case_front</t>
  </si>
  <si>
    <t>case_back</t>
  </si>
  <si>
    <t>JST HX 2.54mm 5 pin connection wire (display PCB to control PCB)</t>
  </si>
  <si>
    <t>JST HX 2.54mm 2 pin connection wire (USB-C to control board)</t>
  </si>
  <si>
    <t xml:space="preserve">JST HX 5 pin male </t>
  </si>
  <si>
    <t xml:space="preserve">JST HX 2 pin male </t>
  </si>
  <si>
    <t>https://www.amazon.com/dp/B0CM315RFP?ref=ppx_yo2ov_dt_b_fed_asin_title</t>
  </si>
  <si>
    <t>https://www.amazon.com/dp/B07G99NNXL?ref=ppx_yo2ov_dt_b_fed_asin_title</t>
  </si>
  <si>
    <t>https://cnckitchen.store/products/heat-set-insert-m3-x-3-short-version-100-pieces</t>
  </si>
  <si>
    <t>SN</t>
  </si>
  <si>
    <t>owner</t>
  </si>
  <si>
    <t>deathDate</t>
  </si>
  <si>
    <t>unixTime</t>
  </si>
  <si>
    <t>01</t>
  </si>
  <si>
    <t>ali</t>
  </si>
  <si>
    <t>02</t>
  </si>
  <si>
    <t>remain</t>
  </si>
  <si>
    <t>LE</t>
  </si>
  <si>
    <t>03</t>
  </si>
  <si>
    <t>colour</t>
  </si>
  <si>
    <t>red</t>
  </si>
  <si>
    <t>white</t>
  </si>
  <si>
    <t>for issues per SN see github</t>
  </si>
  <si>
    <t>test</t>
  </si>
  <si>
    <t>RTC_set</t>
  </si>
  <si>
    <t>&lt;&lt; ENTER</t>
  </si>
  <si>
    <t>SN01</t>
  </si>
  <si>
    <t>SN02</t>
  </si>
  <si>
    <t>SN03</t>
  </si>
  <si>
    <t>Delta T (sec)</t>
  </si>
  <si>
    <t>div</t>
  </si>
  <si>
    <t>walls</t>
  </si>
  <si>
    <t>infill</t>
  </si>
  <si>
    <t>notes</t>
  </si>
  <si>
    <t>profile</t>
  </si>
  <si>
    <t>material</t>
  </si>
  <si>
    <t>0.2 structural</t>
  </si>
  <si>
    <t>PLA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</si>
</sst>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[$-13C09]d\ mmm\ yyyy;@"/>
    <numFmt numFmtId="166" formatCode="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7">
    <xf numFmtId="0" fontId="0" fillId="0" borderId="0" xfId="0"/>
    <xf numFmtId="164" fontId="0" fillId="0" borderId="0" xfId="1" applyNumberFormat="1" applyFont="1"/>
    <xf numFmtId="0" fontId="3" fillId="0" borderId="0" xfId="3"/>
    <xf numFmtId="44" fontId="0" fillId="0" borderId="0" xfId="2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/>
    <xf numFmtId="164" fontId="0" fillId="3" borderId="0" xfId="1" applyNumberFormat="1" applyFont="1" applyFill="1"/>
    <xf numFmtId="164" fontId="2" fillId="0" borderId="0" xfId="1" applyNumberFormat="1" applyFont="1"/>
    <xf numFmtId="165" fontId="0" fillId="0" borderId="0" xfId="0" applyNumberFormat="1" applyAlignment="1">
      <alignment horizontal="center"/>
    </xf>
    <xf numFmtId="0" fontId="2" fillId="0" borderId="0" xfId="0" applyFont="1"/>
    <xf numFmtId="44" fontId="2" fillId="0" borderId="0" xfId="2" applyFont="1"/>
    <xf numFmtId="4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49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6" fontId="0" fillId="0" borderId="0" xfId="0" applyNumberForma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power!$D$4</c:f>
              <c:strCache>
                <c:ptCount val="1"/>
                <c:pt idx="0">
                  <c:v>P (mW)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power!$A$5:$A$20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power!$D$5:$D$20</c:f>
              <c:numCache>
                <c:formatCode>0</c:formatCode>
                <c:ptCount val="16"/>
                <c:pt idx="0">
                  <c:v>183.6</c:v>
                </c:pt>
                <c:pt idx="1">
                  <c:v>260.09999999999997</c:v>
                </c:pt>
                <c:pt idx="2">
                  <c:v>326.39999999999998</c:v>
                </c:pt>
                <c:pt idx="3">
                  <c:v>382.5</c:v>
                </c:pt>
                <c:pt idx="4">
                  <c:v>474.29999999999995</c:v>
                </c:pt>
                <c:pt idx="5">
                  <c:v>555.9</c:v>
                </c:pt>
                <c:pt idx="6">
                  <c:v>637.5</c:v>
                </c:pt>
                <c:pt idx="7">
                  <c:v>688.5</c:v>
                </c:pt>
                <c:pt idx="8">
                  <c:v>759.9</c:v>
                </c:pt>
                <c:pt idx="9">
                  <c:v>821.09999999999991</c:v>
                </c:pt>
                <c:pt idx="10">
                  <c:v>882.3</c:v>
                </c:pt>
                <c:pt idx="11">
                  <c:v>968.99999999999989</c:v>
                </c:pt>
                <c:pt idx="12">
                  <c:v>1045.5</c:v>
                </c:pt>
                <c:pt idx="13">
                  <c:v>1106.6999999999998</c:v>
                </c:pt>
                <c:pt idx="14">
                  <c:v>1162.8</c:v>
                </c:pt>
                <c:pt idx="15">
                  <c:v>1224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9-4D72-BFEB-87D66A315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710319"/>
        <c:axId val="814710799"/>
      </c:scatterChart>
      <c:valAx>
        <c:axId val="814710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799"/>
        <c:crosses val="autoZero"/>
        <c:crossBetween val="midCat"/>
      </c:valAx>
      <c:valAx>
        <c:axId val="81471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462642</xdr:colOff>
      <xdr:row>2</xdr:row>
      <xdr:rowOff>189819</xdr:rowOff>
    </xdr:from>
    <xdr:to>
      <xdr:col>12</xdr:col>
      <xdr:colOff>136071</xdr:colOff>
      <xdr:row>19</xdr:row>
      <xdr:rowOff>176893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171DBC-439B-2E17-ABDD-548796CD4D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TargetMode="External"/><Relationship Id="rId2" Type="http://schemas.openxmlformats.org/officeDocument/2006/relationships/hyperlink" Target="https://www.adafruit.com/product/3013?srsltid=AfmBOorY5_5bFqTH8Gmqvp4xZocum8U0b0bRwiaDY5xZqLUaMxEYaVcX" TargetMode="External"/><Relationship Id="rId1" Type="http://schemas.openxmlformats.org/officeDocument/2006/relationships/hyperlink" Target="https://www.aliexpress.com/item/1005005777382409.html?spm=a2g0o.order_list.order_list_main.11.48fd1802CWoXaq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dp/B0BK6XC4P8?ref=ppx_yo2ov_dt_b_fed_asin_title" TargetMode="External"/><Relationship Id="rId4" Type="http://schemas.openxmlformats.org/officeDocument/2006/relationships/hyperlink" Target="https://www.lcsc.com/product-detail/C10708.htm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unixtimestamp.com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B1B7B-319E-4C23-AC8D-31754D55D55A}">
  <dimension ref="A1:E15"/>
  <sheetViews>
    <sheetView zoomScale="120" zoomScaleNormal="120" workbookViewId="0">
      <selection activeCell="C36" sqref="C36"/>
    </sheetView>
  </sheetViews>
  <sheetFormatPr defaultRowHeight="15" x14ac:dyDescent="0.25"/>
  <cols>
    <col min="1" max="1" width="11.5703125" bestFit="1" customWidth="1"/>
    <col min="2" max="2" width="17.85546875" bestFit="1" customWidth="1"/>
  </cols>
  <sheetData>
    <row r="1" spans="1:5" x14ac:dyDescent="0.25">
      <c r="A1" t="s">
        <v>11</v>
      </c>
      <c r="B1" t="s">
        <v>10</v>
      </c>
      <c r="C1" t="s">
        <v>9</v>
      </c>
    </row>
    <row r="2" spans="1:5" x14ac:dyDescent="0.25">
      <c r="A2" t="s">
        <v>0</v>
      </c>
      <c r="B2">
        <v>35</v>
      </c>
      <c r="C2" cm="1">
        <f t="array" aca="1" ref="C2" ca="1">SUM(LEN(B2)-LEN(SUBSTITUTE(B2,CHAR(ROW(INDIRECT("48:57"))),"")))</f>
        <v>2</v>
      </c>
    </row>
    <row r="3" spans="1:5" x14ac:dyDescent="0.25">
      <c r="A3" t="s">
        <v>1</v>
      </c>
      <c r="B3">
        <v>80</v>
      </c>
      <c r="C3" cm="1">
        <f t="array" aca="1" ref="C3" ca="1">SUM(LEN(B3)-LEN(SUBSTITUTE(B3,CHAR(ROW(INDIRECT("48:57"))),"")))</f>
        <v>2</v>
      </c>
    </row>
    <row r="4" spans="1:5" x14ac:dyDescent="0.25">
      <c r="A4" t="s">
        <v>3</v>
      </c>
      <c r="B4">
        <f>B3-B2</f>
        <v>45</v>
      </c>
      <c r="C4" cm="1">
        <f t="array" aca="1" ref="C4" ca="1">SUM(LEN(B4)-LEN(SUBSTITUTE(B4,CHAR(ROW(INDIRECT("48:57"))),"")))</f>
        <v>2</v>
      </c>
    </row>
    <row r="5" spans="1:5" x14ac:dyDescent="0.25">
      <c r="A5" t="s">
        <v>2</v>
      </c>
      <c r="B5">
        <f>B4</f>
        <v>45</v>
      </c>
      <c r="C5" cm="1">
        <f t="array" aca="1" ref="C5" ca="1">SUM(LEN(B5)-LEN(SUBSTITUTE(B5,CHAR(ROW(INDIRECT("48:57"))),"")))</f>
        <v>2</v>
      </c>
    </row>
    <row r="6" spans="1:5" x14ac:dyDescent="0.25">
      <c r="A6" t="s">
        <v>4</v>
      </c>
      <c r="B6">
        <f>B4*12</f>
        <v>540</v>
      </c>
      <c r="C6" cm="1">
        <f t="array" aca="1" ref="C6" ca="1">SUM(LEN(B6)-LEN(SUBSTITUTE(B6,CHAR(ROW(INDIRECT("48:57"))),"")))</f>
        <v>3</v>
      </c>
    </row>
    <row r="7" spans="1:5" x14ac:dyDescent="0.25">
      <c r="A7" t="s">
        <v>5</v>
      </c>
      <c r="B7" s="1">
        <f>B4*365</f>
        <v>16425</v>
      </c>
      <c r="C7" cm="1">
        <f t="array" aca="1" ref="C7" ca="1">SUM(LEN(B7)-LEN(SUBSTITUTE(B7,CHAR(ROW(INDIRECT("48:57"))),"")))</f>
        <v>5</v>
      </c>
      <c r="E7">
        <v>5</v>
      </c>
    </row>
    <row r="8" spans="1:5" x14ac:dyDescent="0.25">
      <c r="A8" t="s">
        <v>6</v>
      </c>
      <c r="B8" s="1">
        <f>B7*24</f>
        <v>394200</v>
      </c>
      <c r="C8" cm="1">
        <f t="array" aca="1" ref="C8" ca="1">SUM(LEN(B8)-LEN(SUBSTITUTE(B8,CHAR(ROW(INDIRECT("48:57"))),"")))</f>
        <v>6</v>
      </c>
      <c r="E8">
        <v>2</v>
      </c>
    </row>
    <row r="9" spans="1:5" x14ac:dyDescent="0.25">
      <c r="A9" t="s">
        <v>7</v>
      </c>
      <c r="B9" s="1">
        <f>B8*60</f>
        <v>23652000</v>
      </c>
      <c r="C9" cm="1">
        <f t="array" aca="1" ref="C9" ca="1">SUM(LEN(B9)-LEN(SUBSTITUTE(B9,CHAR(ROW(INDIRECT("48:57"))),"")))</f>
        <v>8</v>
      </c>
      <c r="E9">
        <v>2</v>
      </c>
    </row>
    <row r="10" spans="1:5" x14ac:dyDescent="0.25">
      <c r="A10" t="s">
        <v>8</v>
      </c>
      <c r="B10" s="1">
        <f>B9*60</f>
        <v>1419120000</v>
      </c>
      <c r="C10" cm="1">
        <f t="array" aca="1" ref="C10" ca="1">SUM(LEN(B10)-LEN(SUBSTITUTE(B10,CHAR(ROW(INDIRECT("48:57"))),"")))</f>
        <v>10</v>
      </c>
      <c r="E10">
        <v>2</v>
      </c>
    </row>
    <row r="15" spans="1:5" x14ac:dyDescent="0.25">
      <c r="A15" t="s">
        <v>22</v>
      </c>
      <c r="B15">
        <f>2025+B4</f>
        <v>2070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75C8-A1E2-455E-AE6B-B276B5D7A948}">
  <dimension ref="A1:E23"/>
  <sheetViews>
    <sheetView zoomScale="130" zoomScaleNormal="130" workbookViewId="0">
      <selection activeCell="A14" sqref="A14"/>
    </sheetView>
  </sheetViews>
  <sheetFormatPr defaultRowHeight="15" x14ac:dyDescent="0.25"/>
  <cols>
    <col min="1" max="1" width="83" bestFit="1" customWidth="1"/>
    <col min="2" max="2" width="8.42578125" bestFit="1" customWidth="1"/>
    <col min="3" max="3" width="6.42578125" style="5" customWidth="1"/>
    <col min="4" max="4" width="8.42578125" bestFit="1" customWidth="1"/>
    <col min="5" max="5" width="67.5703125" customWidth="1"/>
  </cols>
  <sheetData>
    <row r="1" spans="1:5" s="4" customFormat="1" x14ac:dyDescent="0.25">
      <c r="A1" s="4" t="s">
        <v>12</v>
      </c>
      <c r="B1" s="4" t="s">
        <v>26</v>
      </c>
      <c r="C1" s="4" t="s">
        <v>13</v>
      </c>
      <c r="D1" s="4" t="s">
        <v>14</v>
      </c>
      <c r="E1" s="4" t="s">
        <v>15</v>
      </c>
    </row>
    <row r="2" spans="1:5" s="4" customFormat="1" x14ac:dyDescent="0.25">
      <c r="A2" t="s">
        <v>122</v>
      </c>
      <c r="B2" s="3">
        <v>0.48</v>
      </c>
      <c r="C2" s="5">
        <v>1</v>
      </c>
      <c r="D2" s="3">
        <f t="shared" ref="D2:D3" si="0">B2*C2</f>
        <v>0.48</v>
      </c>
    </row>
    <row r="3" spans="1:5" s="4" customFormat="1" x14ac:dyDescent="0.25">
      <c r="A3" t="s">
        <v>123</v>
      </c>
      <c r="B3" s="3">
        <v>0.25</v>
      </c>
      <c r="C3" s="5">
        <v>1</v>
      </c>
      <c r="D3" s="3">
        <f t="shared" si="0"/>
        <v>0.25</v>
      </c>
    </row>
    <row r="4" spans="1:5" x14ac:dyDescent="0.25">
      <c r="A4" t="s">
        <v>24</v>
      </c>
      <c r="B4" s="3">
        <v>0.68</v>
      </c>
      <c r="C4" s="5">
        <v>1</v>
      </c>
      <c r="D4" s="3">
        <f>B4*C4</f>
        <v>0.68</v>
      </c>
      <c r="E4" s="2" t="s">
        <v>25</v>
      </c>
    </row>
    <row r="5" spans="1:5" x14ac:dyDescent="0.25">
      <c r="A5" t="s">
        <v>17</v>
      </c>
      <c r="B5" s="3">
        <v>5.33</v>
      </c>
      <c r="C5" s="5">
        <v>1</v>
      </c>
      <c r="D5" s="3">
        <f t="shared" ref="D5:D12" si="1">B5*C5</f>
        <v>5.33</v>
      </c>
      <c r="E5" t="s">
        <v>129</v>
      </c>
    </row>
    <row r="6" spans="1:5" x14ac:dyDescent="0.25">
      <c r="A6" t="s">
        <v>18</v>
      </c>
      <c r="B6" s="3">
        <v>17.5</v>
      </c>
      <c r="C6" s="5">
        <v>1</v>
      </c>
      <c r="D6" s="3">
        <f t="shared" si="1"/>
        <v>17.5</v>
      </c>
      <c r="E6" s="2" t="s">
        <v>19</v>
      </c>
    </row>
    <row r="7" spans="1:5" x14ac:dyDescent="0.25">
      <c r="A7" t="s">
        <v>20</v>
      </c>
      <c r="B7" s="3">
        <v>2.56</v>
      </c>
      <c r="C7" s="5">
        <v>1</v>
      </c>
      <c r="D7" s="3">
        <f t="shared" si="1"/>
        <v>2.56</v>
      </c>
      <c r="E7" s="2" t="s">
        <v>21</v>
      </c>
    </row>
    <row r="8" spans="1:5" x14ac:dyDescent="0.25">
      <c r="A8" t="s">
        <v>23</v>
      </c>
      <c r="B8" s="3">
        <v>0.64</v>
      </c>
      <c r="C8" s="5">
        <v>3</v>
      </c>
      <c r="D8" s="3">
        <f t="shared" si="1"/>
        <v>1.92</v>
      </c>
      <c r="E8" s="2" t="s">
        <v>27</v>
      </c>
    </row>
    <row r="9" spans="1:5" x14ac:dyDescent="0.25">
      <c r="A9" t="s">
        <v>28</v>
      </c>
      <c r="B9" s="3">
        <v>1.99</v>
      </c>
      <c r="C9" s="5">
        <v>2</v>
      </c>
      <c r="D9" s="3">
        <f t="shared" si="1"/>
        <v>3.98</v>
      </c>
      <c r="E9" s="2" t="s">
        <v>29</v>
      </c>
    </row>
    <row r="10" spans="1:5" x14ac:dyDescent="0.25">
      <c r="A10" t="s">
        <v>79</v>
      </c>
      <c r="B10" s="3">
        <v>0</v>
      </c>
      <c r="C10" s="5">
        <v>2</v>
      </c>
      <c r="D10" s="3">
        <f t="shared" si="1"/>
        <v>0</v>
      </c>
    </row>
    <row r="11" spans="1:5" x14ac:dyDescent="0.25">
      <c r="A11" t="s">
        <v>100</v>
      </c>
      <c r="B11" s="3">
        <v>0</v>
      </c>
      <c r="C11" s="5">
        <v>1</v>
      </c>
      <c r="D11" s="3">
        <f t="shared" si="1"/>
        <v>0</v>
      </c>
    </row>
    <row r="12" spans="1:5" x14ac:dyDescent="0.25">
      <c r="A12" t="s">
        <v>78</v>
      </c>
      <c r="B12" s="3">
        <v>0</v>
      </c>
      <c r="C12" s="5">
        <v>2</v>
      </c>
      <c r="D12" s="3">
        <f t="shared" si="1"/>
        <v>0</v>
      </c>
    </row>
    <row r="13" spans="1:5" x14ac:dyDescent="0.25">
      <c r="A13" t="s">
        <v>120</v>
      </c>
      <c r="B13" s="3">
        <v>0.11</v>
      </c>
      <c r="C13" s="5">
        <v>10</v>
      </c>
      <c r="D13" s="3">
        <f>C13*B13</f>
        <v>1.1000000000000001</v>
      </c>
      <c r="E13" t="s">
        <v>130</v>
      </c>
    </row>
    <row r="14" spans="1:5" x14ac:dyDescent="0.25">
      <c r="A14" t="s">
        <v>119</v>
      </c>
      <c r="B14" s="3">
        <v>0.04</v>
      </c>
      <c r="C14" s="5">
        <v>4</v>
      </c>
      <c r="D14" s="3">
        <f t="shared" ref="D14:D21" si="2">C14*B14</f>
        <v>0.16</v>
      </c>
    </row>
    <row r="15" spans="1:5" x14ac:dyDescent="0.25">
      <c r="A15" t="s">
        <v>118</v>
      </c>
      <c r="B15" s="3">
        <v>0.04</v>
      </c>
      <c r="C15" s="5">
        <v>2</v>
      </c>
      <c r="D15" s="3">
        <f t="shared" si="2"/>
        <v>0.08</v>
      </c>
    </row>
    <row r="16" spans="1:5" x14ac:dyDescent="0.25">
      <c r="A16" t="s">
        <v>99</v>
      </c>
      <c r="B16" s="3">
        <v>0.04</v>
      </c>
      <c r="C16" s="5">
        <v>2</v>
      </c>
      <c r="D16" s="3">
        <f t="shared" si="2"/>
        <v>0.08</v>
      </c>
    </row>
    <row r="17" spans="1:5" x14ac:dyDescent="0.25">
      <c r="A17" t="s">
        <v>121</v>
      </c>
      <c r="B17" s="3">
        <v>0.04</v>
      </c>
      <c r="C17" s="5">
        <v>2</v>
      </c>
      <c r="D17" s="3">
        <f t="shared" si="2"/>
        <v>0.08</v>
      </c>
    </row>
    <row r="18" spans="1:5" x14ac:dyDescent="0.25">
      <c r="A18" t="s">
        <v>124</v>
      </c>
      <c r="B18" s="3">
        <v>1</v>
      </c>
      <c r="C18" s="5">
        <v>1</v>
      </c>
      <c r="D18" s="3">
        <f t="shared" si="2"/>
        <v>1</v>
      </c>
      <c r="E18" t="s">
        <v>128</v>
      </c>
    </row>
    <row r="19" spans="1:5" x14ac:dyDescent="0.25">
      <c r="A19" t="s">
        <v>125</v>
      </c>
      <c r="B19" s="3">
        <v>0.5</v>
      </c>
      <c r="C19" s="5">
        <v>1</v>
      </c>
      <c r="D19" s="3">
        <f t="shared" si="2"/>
        <v>0.5</v>
      </c>
      <c r="E19" t="s">
        <v>128</v>
      </c>
    </row>
    <row r="20" spans="1:5" x14ac:dyDescent="0.25">
      <c r="A20" t="s">
        <v>126</v>
      </c>
      <c r="B20" s="3">
        <v>0.15</v>
      </c>
      <c r="C20" s="5">
        <v>2</v>
      </c>
      <c r="D20" s="3">
        <f t="shared" si="2"/>
        <v>0.3</v>
      </c>
      <c r="E20" t="s">
        <v>128</v>
      </c>
    </row>
    <row r="21" spans="1:5" x14ac:dyDescent="0.25">
      <c r="A21" t="s">
        <v>127</v>
      </c>
      <c r="B21" s="3">
        <v>0.15</v>
      </c>
      <c r="C21" s="5">
        <v>2</v>
      </c>
      <c r="D21" s="3">
        <f t="shared" si="2"/>
        <v>0.3</v>
      </c>
      <c r="E21" t="s">
        <v>128</v>
      </c>
    </row>
    <row r="22" spans="1:5" x14ac:dyDescent="0.25">
      <c r="B22" s="3"/>
      <c r="D22" s="3"/>
    </row>
    <row r="23" spans="1:5" s="14" customFormat="1" x14ac:dyDescent="0.25">
      <c r="A23" s="14" t="s">
        <v>16</v>
      </c>
      <c r="B23" s="15"/>
      <c r="C23" s="4">
        <f>SUM(C4:C17)</f>
        <v>34</v>
      </c>
      <c r="D23" s="15">
        <f>SUM(D4:D22)</f>
        <v>35.569999999999979</v>
      </c>
    </row>
  </sheetData>
  <hyperlinks>
    <hyperlink ref="E4" r:id="rId1" xr:uid="{A2CF861E-888C-4EF4-9753-1710C2F854D9}"/>
    <hyperlink ref="E6" r:id="rId2" xr:uid="{E6DA3233-8172-4A24-9A3D-7A2A4EBE0699}"/>
    <hyperlink ref="E7" r:id="rId3" display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xr:uid="{71075C8E-0703-4C60-94E8-CD87B4076DB4}"/>
    <hyperlink ref="E8" r:id="rId4" xr:uid="{AE7470A6-37D7-4AE1-8F36-D4BF7E2DDAAD}"/>
    <hyperlink ref="E9" r:id="rId5" xr:uid="{892A1B4E-C4A3-4779-9E3C-5908BBD47162}"/>
  </hyperlinks>
  <pageMargins left="0.7" right="0.7" top="0.75" bottom="0.75" header="0.3" footer="0.3"/>
  <pageSetup orientation="portrait" horizontalDpi="1200" verticalDpi="1200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D4C4D-67F5-47E1-835A-1F494C96898F}">
  <dimension ref="A1:I21"/>
  <sheetViews>
    <sheetView zoomScale="130" zoomScaleNormal="130" workbookViewId="0">
      <selection activeCell="D35" sqref="D35"/>
    </sheetView>
  </sheetViews>
  <sheetFormatPr defaultRowHeight="15" x14ac:dyDescent="0.25"/>
  <cols>
    <col min="1" max="1" width="9.140625" style="5"/>
    <col min="2" max="2" width="15.140625" style="5" bestFit="1" customWidth="1"/>
    <col min="3" max="3" width="9" style="5" customWidth="1"/>
    <col min="4" max="4" width="11.85546875" style="5" bestFit="1" customWidth="1"/>
    <col min="5" max="5" width="8.85546875" style="5" customWidth="1"/>
    <col min="6" max="6" width="14.42578125" style="5" bestFit="1" customWidth="1"/>
    <col min="7" max="8" width="15.140625" style="5" bestFit="1" customWidth="1"/>
    <col min="9" max="9" width="43" style="5" customWidth="1"/>
    <col min="10" max="16384" width="9.140625" style="5"/>
  </cols>
  <sheetData>
    <row r="1" spans="1:9" x14ac:dyDescent="0.25">
      <c r="A1" s="10" t="s">
        <v>108</v>
      </c>
      <c r="B1" s="11">
        <v>1767408130</v>
      </c>
      <c r="C1" t="s">
        <v>147</v>
      </c>
      <c r="D1"/>
    </row>
    <row r="2" spans="1:9" x14ac:dyDescent="0.25">
      <c r="A2" s="6" t="s">
        <v>144</v>
      </c>
      <c r="C2"/>
      <c r="D2"/>
    </row>
    <row r="4" spans="1:9" s="4" customFormat="1" x14ac:dyDescent="0.25">
      <c r="A4" s="4" t="s">
        <v>131</v>
      </c>
      <c r="B4" s="4" t="s">
        <v>141</v>
      </c>
      <c r="C4" s="4" t="s">
        <v>132</v>
      </c>
      <c r="D4" s="4" t="s">
        <v>146</v>
      </c>
      <c r="E4" s="4" t="s">
        <v>139</v>
      </c>
      <c r="F4" s="4" t="s">
        <v>133</v>
      </c>
      <c r="G4" s="4" t="s">
        <v>134</v>
      </c>
      <c r="H4" s="4" t="s">
        <v>138</v>
      </c>
    </row>
    <row r="5" spans="1:9" x14ac:dyDescent="0.25">
      <c r="A5" s="16" t="s">
        <v>135</v>
      </c>
      <c r="B5" s="16" t="s">
        <v>142</v>
      </c>
      <c r="C5" s="5" t="s">
        <v>136</v>
      </c>
      <c r="D5" s="13">
        <v>46021</v>
      </c>
      <c r="E5" s="5">
        <v>83</v>
      </c>
      <c r="F5" s="13">
        <v>63515</v>
      </c>
      <c r="G5" s="1">
        <v>3278505600</v>
      </c>
      <c r="H5" s="17">
        <f>G5-$B$1</f>
        <v>1511097470</v>
      </c>
    </row>
    <row r="6" spans="1:9" x14ac:dyDescent="0.25">
      <c r="A6" s="16" t="s">
        <v>137</v>
      </c>
      <c r="B6" s="16" t="s">
        <v>142</v>
      </c>
      <c r="C6" s="5" t="s">
        <v>152</v>
      </c>
      <c r="D6" s="13">
        <v>46021</v>
      </c>
      <c r="E6" s="5">
        <v>81</v>
      </c>
      <c r="F6" s="13">
        <v>62245</v>
      </c>
      <c r="G6" s="1">
        <v>3168777600</v>
      </c>
      <c r="H6" s="17">
        <f>G6-$B$1</f>
        <v>1401369470</v>
      </c>
      <c r="I6" s="17"/>
    </row>
    <row r="7" spans="1:9" x14ac:dyDescent="0.25">
      <c r="A7" s="18" t="s">
        <v>140</v>
      </c>
      <c r="B7" s="18" t="s">
        <v>143</v>
      </c>
      <c r="C7" s="19" t="s">
        <v>145</v>
      </c>
      <c r="D7" s="13">
        <v>46021</v>
      </c>
      <c r="E7" s="5">
        <v>83</v>
      </c>
      <c r="F7" s="13">
        <v>63515</v>
      </c>
      <c r="G7" s="1">
        <v>3278505600</v>
      </c>
      <c r="H7" s="17">
        <f>G7-$B$1</f>
        <v>1511097470</v>
      </c>
    </row>
    <row r="8" spans="1:9" x14ac:dyDescent="0.25">
      <c r="A8" s="16"/>
      <c r="B8" s="16"/>
      <c r="F8" s="13"/>
      <c r="G8" s="1"/>
      <c r="H8" s="17"/>
    </row>
    <row r="9" spans="1:9" x14ac:dyDescent="0.25">
      <c r="A9" s="16"/>
      <c r="B9" s="16"/>
      <c r="F9" s="13"/>
      <c r="G9" s="1"/>
      <c r="H9" s="17"/>
    </row>
    <row r="10" spans="1:9" x14ac:dyDescent="0.25">
      <c r="A10" s="16"/>
      <c r="B10" s="16"/>
      <c r="F10" s="13"/>
      <c r="G10" s="1"/>
      <c r="H10" s="17"/>
    </row>
    <row r="11" spans="1:9" x14ac:dyDescent="0.25">
      <c r="A11" s="16"/>
      <c r="B11" s="16"/>
      <c r="F11" s="13"/>
      <c r="G11" s="1"/>
      <c r="H11" s="17"/>
    </row>
    <row r="12" spans="1:9" x14ac:dyDescent="0.25">
      <c r="A12" s="16"/>
      <c r="B12" s="16"/>
      <c r="F12" s="13"/>
      <c r="G12" s="1"/>
      <c r="H12" s="17"/>
    </row>
    <row r="13" spans="1:9" x14ac:dyDescent="0.25">
      <c r="A13" s="16"/>
      <c r="B13" s="16"/>
      <c r="F13" s="13"/>
      <c r="G13" s="1"/>
      <c r="H13" s="17"/>
    </row>
    <row r="14" spans="1:9" x14ac:dyDescent="0.25">
      <c r="A14" s="16"/>
      <c r="B14" s="16"/>
      <c r="F14" s="13"/>
      <c r="G14" s="1"/>
      <c r="H14" s="17"/>
    </row>
    <row r="15" spans="1:9" x14ac:dyDescent="0.25">
      <c r="A15" s="16"/>
      <c r="B15" s="16"/>
      <c r="F15" s="13"/>
      <c r="G15" s="1"/>
      <c r="H15" s="17"/>
    </row>
    <row r="16" spans="1:9" x14ac:dyDescent="0.25">
      <c r="A16" s="16"/>
      <c r="B16" s="16"/>
      <c r="F16" s="13"/>
      <c r="G16" s="1"/>
      <c r="H16" s="17"/>
    </row>
    <row r="17" spans="1:8" x14ac:dyDescent="0.25">
      <c r="A17" s="16"/>
      <c r="B17" s="16"/>
      <c r="F17" s="13"/>
      <c r="G17" s="1"/>
      <c r="H17" s="17"/>
    </row>
    <row r="18" spans="1:8" x14ac:dyDescent="0.25">
      <c r="F18" s="13"/>
      <c r="G18" s="1"/>
      <c r="H18" s="17"/>
    </row>
    <row r="19" spans="1:8" x14ac:dyDescent="0.25">
      <c r="F19" s="13"/>
      <c r="G19" s="1"/>
      <c r="H19" s="17"/>
    </row>
    <row r="20" spans="1:8" x14ac:dyDescent="0.25">
      <c r="F20" s="13"/>
    </row>
    <row r="21" spans="1:8" x14ac:dyDescent="0.25">
      <c r="F21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8A8C2-560E-4983-9205-545EC285EE6E}">
  <dimension ref="A2:F4"/>
  <sheetViews>
    <sheetView tabSelected="1" zoomScale="120" zoomScaleNormal="120" workbookViewId="0">
      <selection activeCell="C9" sqref="C9"/>
    </sheetView>
  </sheetViews>
  <sheetFormatPr defaultRowHeight="15" x14ac:dyDescent="0.25"/>
  <cols>
    <col min="1" max="1" width="11.5703125" customWidth="1"/>
    <col min="2" max="2" width="10.28515625" customWidth="1"/>
    <col min="3" max="3" width="12.5703125" bestFit="1" customWidth="1"/>
    <col min="6" max="6" width="76.85546875" customWidth="1"/>
  </cols>
  <sheetData>
    <row r="2" spans="1:6" x14ac:dyDescent="0.25">
      <c r="A2" t="s">
        <v>12</v>
      </c>
      <c r="B2" t="s">
        <v>157</v>
      </c>
      <c r="C2" t="s">
        <v>156</v>
      </c>
      <c r="D2" t="s">
        <v>153</v>
      </c>
      <c r="E2" t="s">
        <v>154</v>
      </c>
      <c r="F2" t="s">
        <v>155</v>
      </c>
    </row>
    <row r="3" spans="1:6" x14ac:dyDescent="0.25">
      <c r="A3" t="s">
        <v>123</v>
      </c>
      <c r="B3" t="s">
        <v>159</v>
      </c>
      <c r="C3" t="s">
        <v>158</v>
      </c>
      <c r="D3">
        <v>4</v>
      </c>
      <c r="E3">
        <v>15</v>
      </c>
    </row>
    <row r="4" spans="1:6" x14ac:dyDescent="0.25">
      <c r="A4" t="s">
        <v>122</v>
      </c>
      <c r="B4" t="s">
        <v>159</v>
      </c>
      <c r="C4" t="s">
        <v>158</v>
      </c>
      <c r="D4">
        <v>4</v>
      </c>
      <c r="E4">
        <v>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73C36-9CBA-48BD-8D18-27663C3EFD9B}">
  <dimension ref="A1:G34"/>
  <sheetViews>
    <sheetView zoomScale="140" zoomScaleNormal="140" workbookViewId="0">
      <selection activeCell="B1" sqref="B1"/>
    </sheetView>
  </sheetViews>
  <sheetFormatPr defaultRowHeight="15" x14ac:dyDescent="0.25"/>
  <cols>
    <col min="2" max="2" width="17.85546875" bestFit="1" customWidth="1"/>
    <col min="6" max="6" width="8.140625" bestFit="1" customWidth="1"/>
  </cols>
  <sheetData>
    <row r="1" spans="1:7" x14ac:dyDescent="0.25">
      <c r="A1" t="s">
        <v>110</v>
      </c>
      <c r="B1" s="2" t="s">
        <v>111</v>
      </c>
    </row>
    <row r="3" spans="1:7" x14ac:dyDescent="0.25">
      <c r="A3" t="s">
        <v>107</v>
      </c>
      <c r="B3" s="1">
        <v>3278505600</v>
      </c>
      <c r="C3" t="s">
        <v>117</v>
      </c>
    </row>
    <row r="4" spans="1:7" x14ac:dyDescent="0.25">
      <c r="A4" s="10" t="s">
        <v>108</v>
      </c>
      <c r="B4" s="11">
        <v>1767366150</v>
      </c>
      <c r="C4" t="s">
        <v>112</v>
      </c>
    </row>
    <row r="5" spans="1:7" x14ac:dyDescent="0.25">
      <c r="A5" t="s">
        <v>109</v>
      </c>
      <c r="B5" s="12">
        <f>B3-B4</f>
        <v>1511139450</v>
      </c>
      <c r="C5" t="s">
        <v>113</v>
      </c>
    </row>
    <row r="7" spans="1:7" x14ac:dyDescent="0.25">
      <c r="A7" t="s">
        <v>115</v>
      </c>
      <c r="B7" s="13">
        <v>46021</v>
      </c>
    </row>
    <row r="8" spans="1:7" x14ac:dyDescent="0.25">
      <c r="B8" s="13"/>
    </row>
    <row r="9" spans="1:7" x14ac:dyDescent="0.25">
      <c r="C9" s="24" t="s">
        <v>151</v>
      </c>
      <c r="D9" s="25"/>
      <c r="E9" s="25"/>
    </row>
    <row r="10" spans="1:7" s="21" customFormat="1" ht="31.5" customHeight="1" x14ac:dyDescent="0.25">
      <c r="A10" s="21" t="s">
        <v>106</v>
      </c>
      <c r="B10" s="21" t="s">
        <v>114</v>
      </c>
      <c r="C10" s="21" t="s">
        <v>148</v>
      </c>
      <c r="D10" s="21" t="s">
        <v>149</v>
      </c>
      <c r="E10" s="21" t="s">
        <v>150</v>
      </c>
      <c r="F10" s="22" t="s">
        <v>116</v>
      </c>
      <c r="G10" s="23"/>
    </row>
    <row r="11" spans="1:7" x14ac:dyDescent="0.25">
      <c r="A11" s="5">
        <v>1</v>
      </c>
      <c r="B11" s="13">
        <v>46021</v>
      </c>
      <c r="C11" s="20">
        <v>0</v>
      </c>
      <c r="D11" s="20">
        <v>0</v>
      </c>
      <c r="E11" s="20">
        <v>0</v>
      </c>
      <c r="F11" s="7">
        <f>B11-$B$7</f>
        <v>0</v>
      </c>
      <c r="G11" s="5"/>
    </row>
    <row r="12" spans="1:7" x14ac:dyDescent="0.25">
      <c r="A12" s="5">
        <f>A11+1</f>
        <v>2</v>
      </c>
      <c r="B12" s="13">
        <v>46024</v>
      </c>
      <c r="C12" s="20">
        <v>0</v>
      </c>
      <c r="D12" s="20">
        <v>0.5</v>
      </c>
      <c r="E12" s="20">
        <v>0.5</v>
      </c>
      <c r="F12" s="7">
        <f>B12-$B$7</f>
        <v>3</v>
      </c>
      <c r="G12" s="5"/>
    </row>
    <row r="13" spans="1:7" x14ac:dyDescent="0.25">
      <c r="A13" s="5">
        <f t="shared" ref="A13:A28" si="0">A12+1</f>
        <v>3</v>
      </c>
      <c r="B13" s="13"/>
      <c r="C13" s="20"/>
      <c r="D13" s="20"/>
      <c r="E13" s="20"/>
      <c r="F13" s="7"/>
      <c r="G13" s="5"/>
    </row>
    <row r="14" spans="1:7" x14ac:dyDescent="0.25">
      <c r="A14" s="5">
        <f t="shared" si="0"/>
        <v>4</v>
      </c>
      <c r="B14" s="13"/>
      <c r="C14" s="20"/>
      <c r="D14" s="20"/>
      <c r="E14" s="20"/>
      <c r="F14" s="7"/>
      <c r="G14" s="5"/>
    </row>
    <row r="15" spans="1:7" x14ac:dyDescent="0.25">
      <c r="A15" s="5">
        <f t="shared" si="0"/>
        <v>5</v>
      </c>
      <c r="B15" s="13"/>
      <c r="C15" s="20"/>
      <c r="D15" s="20"/>
      <c r="E15" s="20"/>
      <c r="F15" s="7"/>
      <c r="G15" s="5"/>
    </row>
    <row r="16" spans="1:7" x14ac:dyDescent="0.25">
      <c r="A16" s="5">
        <f t="shared" si="0"/>
        <v>6</v>
      </c>
      <c r="B16" s="13"/>
      <c r="C16" s="20"/>
      <c r="D16" s="20"/>
      <c r="E16" s="20"/>
      <c r="F16" s="7"/>
      <c r="G16" s="5"/>
    </row>
    <row r="17" spans="1:7" x14ac:dyDescent="0.25">
      <c r="A17" s="5">
        <f t="shared" si="0"/>
        <v>7</v>
      </c>
      <c r="B17" s="13"/>
      <c r="C17" s="20"/>
      <c r="D17" s="20"/>
      <c r="E17" s="20"/>
      <c r="F17" s="7"/>
      <c r="G17" s="5"/>
    </row>
    <row r="18" spans="1:7" x14ac:dyDescent="0.25">
      <c r="A18" s="5">
        <f t="shared" si="0"/>
        <v>8</v>
      </c>
      <c r="B18" s="13"/>
      <c r="C18" s="20"/>
      <c r="D18" s="20"/>
      <c r="E18" s="20"/>
      <c r="F18" s="7"/>
      <c r="G18" s="5"/>
    </row>
    <row r="19" spans="1:7" x14ac:dyDescent="0.25">
      <c r="A19" s="5">
        <f t="shared" si="0"/>
        <v>9</v>
      </c>
      <c r="B19" s="13"/>
      <c r="C19" s="20"/>
      <c r="D19" s="20"/>
      <c r="E19" s="20"/>
      <c r="F19" s="7"/>
      <c r="G19" s="5"/>
    </row>
    <row r="20" spans="1:7" x14ac:dyDescent="0.25">
      <c r="A20" s="5">
        <f t="shared" si="0"/>
        <v>10</v>
      </c>
      <c r="B20" s="13"/>
      <c r="C20" s="20"/>
      <c r="D20" s="20"/>
      <c r="E20" s="20"/>
      <c r="F20" s="7"/>
      <c r="G20" s="5"/>
    </row>
    <row r="21" spans="1:7" x14ac:dyDescent="0.25">
      <c r="A21" s="5">
        <f t="shared" si="0"/>
        <v>11</v>
      </c>
      <c r="B21" s="13"/>
      <c r="C21" s="20"/>
      <c r="D21" s="20"/>
      <c r="E21" s="20"/>
      <c r="F21" s="7"/>
      <c r="G21" s="5"/>
    </row>
    <row r="22" spans="1:7" x14ac:dyDescent="0.25">
      <c r="A22" s="5">
        <f t="shared" si="0"/>
        <v>12</v>
      </c>
      <c r="B22" s="13"/>
      <c r="C22" s="20"/>
      <c r="D22" s="20"/>
      <c r="E22" s="20"/>
      <c r="F22" s="7"/>
      <c r="G22" s="5"/>
    </row>
    <row r="23" spans="1:7" x14ac:dyDescent="0.25">
      <c r="A23" s="5">
        <f t="shared" si="0"/>
        <v>13</v>
      </c>
      <c r="B23" s="13"/>
      <c r="C23" s="20"/>
      <c r="D23" s="20"/>
      <c r="E23" s="20"/>
      <c r="F23" s="7"/>
      <c r="G23" s="5"/>
    </row>
    <row r="24" spans="1:7" x14ac:dyDescent="0.25">
      <c r="A24" s="5">
        <f t="shared" si="0"/>
        <v>14</v>
      </c>
      <c r="B24" s="13"/>
      <c r="C24" s="20"/>
      <c r="D24" s="20"/>
      <c r="E24" s="20"/>
      <c r="F24" s="7"/>
      <c r="G24" s="5"/>
    </row>
    <row r="25" spans="1:7" x14ac:dyDescent="0.25">
      <c r="A25" s="5">
        <f t="shared" si="0"/>
        <v>15</v>
      </c>
      <c r="B25" s="13"/>
      <c r="C25" s="20"/>
      <c r="D25" s="20"/>
      <c r="E25" s="20"/>
      <c r="F25" s="7"/>
      <c r="G25" s="5"/>
    </row>
    <row r="26" spans="1:7" x14ac:dyDescent="0.25">
      <c r="A26" s="5">
        <f t="shared" si="0"/>
        <v>16</v>
      </c>
      <c r="B26" s="13"/>
      <c r="C26" s="20"/>
      <c r="D26" s="20"/>
      <c r="E26" s="20"/>
      <c r="F26" s="7"/>
      <c r="G26" s="5"/>
    </row>
    <row r="27" spans="1:7" x14ac:dyDescent="0.25">
      <c r="A27" s="5">
        <f t="shared" si="0"/>
        <v>17</v>
      </c>
      <c r="B27" s="13"/>
      <c r="C27" s="20"/>
      <c r="D27" s="20"/>
      <c r="E27" s="20"/>
      <c r="F27" s="7"/>
      <c r="G27" s="5"/>
    </row>
    <row r="28" spans="1:7" x14ac:dyDescent="0.25">
      <c r="A28" s="5">
        <f t="shared" si="0"/>
        <v>18</v>
      </c>
      <c r="B28" s="5"/>
      <c r="C28" s="20"/>
      <c r="D28" s="20"/>
      <c r="E28" s="20"/>
      <c r="F28" s="7"/>
      <c r="G28" s="5"/>
    </row>
    <row r="29" spans="1:7" x14ac:dyDescent="0.25">
      <c r="A29" s="5"/>
      <c r="B29" s="5"/>
      <c r="C29" s="5"/>
      <c r="D29" s="5"/>
      <c r="E29" s="5"/>
      <c r="F29" s="5"/>
      <c r="G29" s="5"/>
    </row>
    <row r="30" spans="1:7" x14ac:dyDescent="0.25">
      <c r="A30" s="5"/>
      <c r="B30" s="5"/>
      <c r="C30" s="5"/>
      <c r="D30" s="5"/>
      <c r="E30" s="5"/>
      <c r="F30" s="5"/>
      <c r="G30" s="5"/>
    </row>
    <row r="31" spans="1:7" x14ac:dyDescent="0.25">
      <c r="A31" s="5"/>
      <c r="B31" s="5"/>
      <c r="C31" s="5"/>
      <c r="D31" s="5"/>
      <c r="E31" s="5"/>
      <c r="F31" s="5"/>
      <c r="G31" s="5"/>
    </row>
    <row r="32" spans="1:7" x14ac:dyDescent="0.25">
      <c r="A32" s="5"/>
      <c r="B32" s="5"/>
      <c r="C32" s="5"/>
      <c r="D32" s="5"/>
      <c r="E32" s="5"/>
      <c r="F32" s="5"/>
      <c r="G32" s="5"/>
    </row>
    <row r="33" spans="1:7" x14ac:dyDescent="0.25">
      <c r="A33" s="5"/>
      <c r="B33" s="5"/>
      <c r="C33" s="5"/>
      <c r="D33" s="5"/>
      <c r="E33" s="5"/>
      <c r="F33" s="5"/>
      <c r="G33" s="5"/>
    </row>
    <row r="34" spans="1:7" x14ac:dyDescent="0.25">
      <c r="A34" s="5"/>
      <c r="B34" s="5"/>
      <c r="C34" s="5"/>
      <c r="D34" s="5"/>
      <c r="E34" s="5"/>
      <c r="F34" s="5"/>
      <c r="G34" s="5"/>
    </row>
  </sheetData>
  <mergeCells count="1">
    <mergeCell ref="C9:E9"/>
  </mergeCells>
  <hyperlinks>
    <hyperlink ref="B1" r:id="rId1" xr:uid="{32395FDD-25C4-48D1-95AC-4B6C14F3B284}"/>
  </hyperlinks>
  <pageMargins left="0.7" right="0.7" top="0.75" bottom="0.75" header="0.3" footer="0.3"/>
  <pageSetup orientation="portrait" horizontalDpi="1200" verticalDpi="12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AFC3F-1D3C-45FB-9E17-B92A724506CA}">
  <dimension ref="A2:S36"/>
  <sheetViews>
    <sheetView zoomScale="130" zoomScaleNormal="130" workbookViewId="0">
      <selection activeCell="I30" sqref="I30"/>
    </sheetView>
  </sheetViews>
  <sheetFormatPr defaultRowHeight="15" x14ac:dyDescent="0.25"/>
  <sheetData>
    <row r="2" spans="1:19" x14ac:dyDescent="0.25">
      <c r="A2" t="s">
        <v>30</v>
      </c>
      <c r="M2" t="s">
        <v>77</v>
      </c>
    </row>
    <row r="3" spans="1:19" x14ac:dyDescent="0.25">
      <c r="A3" t="s">
        <v>31</v>
      </c>
    </row>
    <row r="5" spans="1:19" x14ac:dyDescent="0.25">
      <c r="A5" t="s">
        <v>32</v>
      </c>
      <c r="B5" t="s">
        <v>41</v>
      </c>
      <c r="C5" t="s">
        <v>42</v>
      </c>
      <c r="E5" t="s">
        <v>51</v>
      </c>
      <c r="F5" t="s">
        <v>52</v>
      </c>
    </row>
    <row r="6" spans="1:19" x14ac:dyDescent="0.25">
      <c r="A6" t="s">
        <v>33</v>
      </c>
      <c r="B6" t="s">
        <v>43</v>
      </c>
      <c r="C6" t="s">
        <v>43</v>
      </c>
      <c r="E6" t="s">
        <v>33</v>
      </c>
      <c r="F6" t="s">
        <v>43</v>
      </c>
      <c r="M6" s="5">
        <v>12</v>
      </c>
      <c r="N6" s="5">
        <v>11</v>
      </c>
      <c r="O6" s="5">
        <v>10</v>
      </c>
      <c r="P6" s="5">
        <v>9</v>
      </c>
      <c r="Q6" s="5">
        <v>8</v>
      </c>
      <c r="R6" s="5">
        <v>7</v>
      </c>
      <c r="S6" s="5"/>
    </row>
    <row r="7" spans="1:19" x14ac:dyDescent="0.25">
      <c r="A7" t="s">
        <v>34</v>
      </c>
      <c r="B7" t="s">
        <v>44</v>
      </c>
      <c r="C7" t="s">
        <v>44</v>
      </c>
      <c r="E7" t="s">
        <v>34</v>
      </c>
      <c r="F7" t="s">
        <v>44</v>
      </c>
      <c r="M7" s="5"/>
      <c r="N7" s="5"/>
      <c r="O7" s="5"/>
      <c r="P7" s="5"/>
      <c r="Q7" s="5"/>
      <c r="R7" s="5"/>
      <c r="S7" s="5"/>
    </row>
    <row r="8" spans="1:19" x14ac:dyDescent="0.25">
      <c r="A8" t="s">
        <v>35</v>
      </c>
      <c r="B8" t="s">
        <v>45</v>
      </c>
      <c r="C8" t="s">
        <v>45</v>
      </c>
      <c r="E8" t="s">
        <v>35</v>
      </c>
      <c r="F8" t="s">
        <v>45</v>
      </c>
      <c r="M8" s="5"/>
      <c r="N8" s="26" t="s">
        <v>76</v>
      </c>
      <c r="O8" s="26"/>
      <c r="P8" s="26"/>
      <c r="Q8" s="26"/>
      <c r="R8" s="5"/>
      <c r="S8" s="5"/>
    </row>
    <row r="9" spans="1:19" x14ac:dyDescent="0.25">
      <c r="A9" t="s">
        <v>36</v>
      </c>
      <c r="B9" t="s">
        <v>46</v>
      </c>
      <c r="C9" t="s">
        <v>46</v>
      </c>
      <c r="E9" t="s">
        <v>36</v>
      </c>
      <c r="F9" t="s">
        <v>46</v>
      </c>
      <c r="M9" s="5"/>
      <c r="N9" s="26"/>
      <c r="O9" s="26"/>
      <c r="P9" s="26"/>
      <c r="Q9" s="26"/>
      <c r="R9" s="5"/>
      <c r="S9" s="5"/>
    </row>
    <row r="10" spans="1:19" x14ac:dyDescent="0.25">
      <c r="A10" t="s">
        <v>37</v>
      </c>
      <c r="B10" t="s">
        <v>47</v>
      </c>
      <c r="C10" t="s">
        <v>47</v>
      </c>
      <c r="E10" t="s">
        <v>37</v>
      </c>
      <c r="F10" t="s">
        <v>47</v>
      </c>
      <c r="M10" s="5"/>
      <c r="N10" s="26"/>
      <c r="O10" s="26"/>
      <c r="P10" s="26"/>
      <c r="Q10" s="26"/>
      <c r="R10" s="5"/>
      <c r="S10" s="5"/>
    </row>
    <row r="11" spans="1:19" x14ac:dyDescent="0.25">
      <c r="A11" t="s">
        <v>38</v>
      </c>
      <c r="B11" t="s">
        <v>48</v>
      </c>
      <c r="C11" t="s">
        <v>48</v>
      </c>
      <c r="E11" t="s">
        <v>38</v>
      </c>
      <c r="F11" t="s">
        <v>48</v>
      </c>
      <c r="M11" s="5"/>
      <c r="N11" s="5"/>
      <c r="O11" s="5"/>
      <c r="P11" s="5"/>
      <c r="Q11" s="5"/>
      <c r="R11" s="5"/>
      <c r="S11" s="5"/>
    </row>
    <row r="12" spans="1:19" x14ac:dyDescent="0.25">
      <c r="A12" t="s">
        <v>39</v>
      </c>
      <c r="B12" t="s">
        <v>49</v>
      </c>
      <c r="C12" t="s">
        <v>49</v>
      </c>
      <c r="E12" t="s">
        <v>39</v>
      </c>
      <c r="F12" t="s">
        <v>49</v>
      </c>
      <c r="M12" s="5">
        <v>1</v>
      </c>
      <c r="N12" s="5">
        <v>2</v>
      </c>
      <c r="O12" s="5">
        <v>3</v>
      </c>
      <c r="P12" s="5">
        <v>4</v>
      </c>
      <c r="Q12" s="5">
        <v>5</v>
      </c>
      <c r="R12" s="5">
        <v>6</v>
      </c>
      <c r="S12" s="5"/>
    </row>
    <row r="13" spans="1:19" x14ac:dyDescent="0.25">
      <c r="A13" t="s">
        <v>40</v>
      </c>
      <c r="B13" t="s">
        <v>50</v>
      </c>
      <c r="C13" t="s">
        <v>50</v>
      </c>
      <c r="E13" t="s">
        <v>40</v>
      </c>
      <c r="F13" t="s">
        <v>50</v>
      </c>
    </row>
    <row r="15" spans="1:19" x14ac:dyDescent="0.25">
      <c r="A15" t="s">
        <v>53</v>
      </c>
    </row>
    <row r="16" spans="1:19" x14ac:dyDescent="0.25">
      <c r="A16" t="s">
        <v>54</v>
      </c>
    </row>
    <row r="17" spans="1:6" x14ac:dyDescent="0.25">
      <c r="A17" t="s">
        <v>55</v>
      </c>
    </row>
    <row r="18" spans="1:6" x14ac:dyDescent="0.25">
      <c r="A18" t="s">
        <v>56</v>
      </c>
    </row>
    <row r="20" spans="1:6" x14ac:dyDescent="0.25">
      <c r="A20" t="s">
        <v>32</v>
      </c>
      <c r="B20" t="s">
        <v>41</v>
      </c>
      <c r="C20" t="s">
        <v>42</v>
      </c>
      <c r="E20" t="s">
        <v>51</v>
      </c>
      <c r="F20" t="s">
        <v>52</v>
      </c>
    </row>
    <row r="21" spans="1:6" x14ac:dyDescent="0.25">
      <c r="A21" t="s">
        <v>57</v>
      </c>
      <c r="B21" t="s">
        <v>65</v>
      </c>
      <c r="E21" t="s">
        <v>57</v>
      </c>
      <c r="F21" t="s">
        <v>65</v>
      </c>
    </row>
    <row r="22" spans="1:6" x14ac:dyDescent="0.25">
      <c r="A22" t="s">
        <v>58</v>
      </c>
      <c r="B22" t="s">
        <v>66</v>
      </c>
      <c r="E22" t="s">
        <v>58</v>
      </c>
      <c r="F22" t="s">
        <v>66</v>
      </c>
    </row>
    <row r="23" spans="1:6" x14ac:dyDescent="0.25">
      <c r="A23" t="s">
        <v>59</v>
      </c>
      <c r="B23" t="s">
        <v>67</v>
      </c>
      <c r="E23" t="s">
        <v>59</v>
      </c>
      <c r="F23" t="s">
        <v>67</v>
      </c>
    </row>
    <row r="24" spans="1:6" x14ac:dyDescent="0.25">
      <c r="A24" t="s">
        <v>60</v>
      </c>
      <c r="B24" t="s">
        <v>68</v>
      </c>
      <c r="E24" t="s">
        <v>60</v>
      </c>
      <c r="F24" t="s">
        <v>68</v>
      </c>
    </row>
    <row r="25" spans="1:6" x14ac:dyDescent="0.25">
      <c r="A25" t="s">
        <v>61</v>
      </c>
      <c r="C25" t="s">
        <v>65</v>
      </c>
      <c r="E25" t="s">
        <v>61</v>
      </c>
    </row>
    <row r="26" spans="1:6" x14ac:dyDescent="0.25">
      <c r="A26" t="s">
        <v>62</v>
      </c>
      <c r="C26" t="s">
        <v>66</v>
      </c>
      <c r="E26" t="s">
        <v>62</v>
      </c>
    </row>
    <row r="27" spans="1:6" x14ac:dyDescent="0.25">
      <c r="A27" t="s">
        <v>63</v>
      </c>
      <c r="C27" t="s">
        <v>67</v>
      </c>
      <c r="E27" t="s">
        <v>63</v>
      </c>
    </row>
    <row r="28" spans="1:6" x14ac:dyDescent="0.25">
      <c r="A28" t="s">
        <v>64</v>
      </c>
      <c r="C28" t="s">
        <v>68</v>
      </c>
      <c r="E28" t="s">
        <v>64</v>
      </c>
    </row>
    <row r="30" spans="1:6" x14ac:dyDescent="0.25">
      <c r="A30" t="s">
        <v>69</v>
      </c>
    </row>
    <row r="31" spans="1:6" x14ac:dyDescent="0.25">
      <c r="A31" t="s">
        <v>70</v>
      </c>
    </row>
    <row r="32" spans="1:6" x14ac:dyDescent="0.25">
      <c r="A32" t="s">
        <v>71</v>
      </c>
    </row>
    <row r="34" spans="1:3" x14ac:dyDescent="0.25">
      <c r="A34" t="s">
        <v>72</v>
      </c>
      <c r="B34" t="s">
        <v>32</v>
      </c>
      <c r="C34" t="s">
        <v>51</v>
      </c>
    </row>
    <row r="35" spans="1:3" x14ac:dyDescent="0.25">
      <c r="A35" t="s">
        <v>73</v>
      </c>
      <c r="B35" t="s">
        <v>74</v>
      </c>
    </row>
    <row r="36" spans="1:3" x14ac:dyDescent="0.25">
      <c r="B36" t="s">
        <v>75</v>
      </c>
      <c r="C36" t="s">
        <v>74</v>
      </c>
    </row>
  </sheetData>
  <mergeCells count="1">
    <mergeCell ref="N8:Q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7E72F-3022-4AB1-BC84-A5B0028E59BF}">
  <dimension ref="A2:F11"/>
  <sheetViews>
    <sheetView zoomScale="140" zoomScaleNormal="140" workbookViewId="0">
      <selection activeCell="K15" sqref="K15"/>
    </sheetView>
  </sheetViews>
  <sheetFormatPr defaultRowHeight="15" x14ac:dyDescent="0.25"/>
  <cols>
    <col min="1" max="16384" width="9.140625" style="5"/>
  </cols>
  <sheetData>
    <row r="2" spans="1:6" s="4" customFormat="1" x14ac:dyDescent="0.25">
      <c r="A2" s="4" t="s">
        <v>81</v>
      </c>
      <c r="B2" s="4" t="s">
        <v>83</v>
      </c>
      <c r="C2" s="4" t="s">
        <v>84</v>
      </c>
      <c r="D2" s="4" t="s">
        <v>80</v>
      </c>
      <c r="E2" s="4" t="s">
        <v>86</v>
      </c>
      <c r="F2" s="4" t="s">
        <v>85</v>
      </c>
    </row>
    <row r="3" spans="1:6" x14ac:dyDescent="0.25">
      <c r="A3" s="5" t="s">
        <v>88</v>
      </c>
      <c r="B3" s="5" t="s">
        <v>82</v>
      </c>
      <c r="D3" s="5" t="s">
        <v>82</v>
      </c>
      <c r="E3" s="5" t="s">
        <v>89</v>
      </c>
      <c r="F3" s="5" t="s">
        <v>82</v>
      </c>
    </row>
    <row r="4" spans="1:6" x14ac:dyDescent="0.25">
      <c r="A4" s="5" t="s">
        <v>87</v>
      </c>
      <c r="C4" s="5" t="s">
        <v>87</v>
      </c>
      <c r="D4" s="5" t="s">
        <v>87</v>
      </c>
      <c r="E4" s="5" t="s">
        <v>87</v>
      </c>
      <c r="F4" s="5" t="s">
        <v>87</v>
      </c>
    </row>
    <row r="6" spans="1:6" x14ac:dyDescent="0.25">
      <c r="D6" s="5" t="s">
        <v>90</v>
      </c>
      <c r="F6" s="5" t="s">
        <v>91</v>
      </c>
    </row>
    <row r="7" spans="1:6" x14ac:dyDescent="0.25">
      <c r="D7" s="5" t="s">
        <v>92</v>
      </c>
      <c r="F7" s="5" t="s">
        <v>93</v>
      </c>
    </row>
    <row r="9" spans="1:6" x14ac:dyDescent="0.25">
      <c r="D9" s="5" t="s">
        <v>94</v>
      </c>
      <c r="E9" s="5" t="s">
        <v>74</v>
      </c>
    </row>
    <row r="10" spans="1:6" x14ac:dyDescent="0.25">
      <c r="D10" s="5" t="s">
        <v>95</v>
      </c>
      <c r="E10" s="5" t="s">
        <v>96</v>
      </c>
    </row>
    <row r="11" spans="1:6" x14ac:dyDescent="0.25">
      <c r="D11" s="5" t="s">
        <v>97</v>
      </c>
      <c r="E11" s="5" t="s">
        <v>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0D06D-0929-46BF-9621-C208DE6BEE00}">
  <dimension ref="A2:D20"/>
  <sheetViews>
    <sheetView zoomScale="140" zoomScaleNormal="140" workbookViewId="0">
      <selection activeCell="F31" sqref="F31"/>
    </sheetView>
  </sheetViews>
  <sheetFormatPr defaultRowHeight="15" x14ac:dyDescent="0.25"/>
  <cols>
    <col min="1" max="1" width="10.28515625" style="5" customWidth="1"/>
    <col min="2" max="16384" width="9.140625" style="5"/>
  </cols>
  <sheetData>
    <row r="2" spans="1:4" x14ac:dyDescent="0.25">
      <c r="A2" s="6" t="s">
        <v>101</v>
      </c>
    </row>
    <row r="3" spans="1:4" x14ac:dyDescent="0.25">
      <c r="A3" s="6"/>
    </row>
    <row r="4" spans="1:4" x14ac:dyDescent="0.25">
      <c r="A4" s="5" t="s">
        <v>102</v>
      </c>
      <c r="B4" s="5" t="s">
        <v>105</v>
      </c>
      <c r="C4" s="5" t="s">
        <v>103</v>
      </c>
      <c r="D4" s="5" t="s">
        <v>104</v>
      </c>
    </row>
    <row r="5" spans="1:4" x14ac:dyDescent="0.25">
      <c r="A5" s="8">
        <v>0</v>
      </c>
      <c r="B5" s="8">
        <v>5.0999999999999996</v>
      </c>
      <c r="C5" s="8">
        <v>36</v>
      </c>
      <c r="D5" s="9">
        <f>B5*C5</f>
        <v>183.6</v>
      </c>
    </row>
    <row r="6" spans="1:4" x14ac:dyDescent="0.25">
      <c r="A6" s="5">
        <f>A5+1</f>
        <v>1</v>
      </c>
      <c r="B6" s="5">
        <v>5.0999999999999996</v>
      </c>
      <c r="C6" s="5">
        <v>51</v>
      </c>
      <c r="D6" s="7">
        <f t="shared" ref="D6:D20" si="0">B6*C6</f>
        <v>260.09999999999997</v>
      </c>
    </row>
    <row r="7" spans="1:4" x14ac:dyDescent="0.25">
      <c r="A7" s="5">
        <f t="shared" ref="A7:A20" si="1">A6+1</f>
        <v>2</v>
      </c>
      <c r="B7" s="5">
        <v>5.0999999999999996</v>
      </c>
      <c r="C7" s="5">
        <v>64</v>
      </c>
      <c r="D7" s="7">
        <f t="shared" si="0"/>
        <v>326.39999999999998</v>
      </c>
    </row>
    <row r="8" spans="1:4" x14ac:dyDescent="0.25">
      <c r="A8" s="5">
        <f t="shared" si="1"/>
        <v>3</v>
      </c>
      <c r="B8" s="5">
        <v>5.0999999999999996</v>
      </c>
      <c r="C8" s="5">
        <v>75</v>
      </c>
      <c r="D8" s="7">
        <f t="shared" si="0"/>
        <v>382.5</v>
      </c>
    </row>
    <row r="9" spans="1:4" x14ac:dyDescent="0.25">
      <c r="A9" s="5">
        <f t="shared" si="1"/>
        <v>4</v>
      </c>
      <c r="B9" s="5">
        <v>5.0999999999999996</v>
      </c>
      <c r="C9" s="5">
        <v>93</v>
      </c>
      <c r="D9" s="7">
        <f t="shared" si="0"/>
        <v>474.29999999999995</v>
      </c>
    </row>
    <row r="10" spans="1:4" x14ac:dyDescent="0.25">
      <c r="A10" s="5">
        <f t="shared" si="1"/>
        <v>5</v>
      </c>
      <c r="B10" s="5">
        <v>5.0999999999999996</v>
      </c>
      <c r="C10" s="5">
        <v>109</v>
      </c>
      <c r="D10" s="7">
        <f t="shared" si="0"/>
        <v>555.9</v>
      </c>
    </row>
    <row r="11" spans="1:4" x14ac:dyDescent="0.25">
      <c r="A11" s="5">
        <f t="shared" si="1"/>
        <v>6</v>
      </c>
      <c r="B11" s="5">
        <v>5.0999999999999996</v>
      </c>
      <c r="C11" s="5">
        <v>125</v>
      </c>
      <c r="D11" s="7">
        <f t="shared" si="0"/>
        <v>637.5</v>
      </c>
    </row>
    <row r="12" spans="1:4" x14ac:dyDescent="0.25">
      <c r="A12" s="5">
        <f t="shared" si="1"/>
        <v>7</v>
      </c>
      <c r="B12" s="5">
        <v>5.0999999999999996</v>
      </c>
      <c r="C12" s="5">
        <v>135</v>
      </c>
      <c r="D12" s="7">
        <f t="shared" si="0"/>
        <v>688.5</v>
      </c>
    </row>
    <row r="13" spans="1:4" x14ac:dyDescent="0.25">
      <c r="A13" s="5">
        <f t="shared" si="1"/>
        <v>8</v>
      </c>
      <c r="B13" s="5">
        <v>5.0999999999999996</v>
      </c>
      <c r="C13" s="5">
        <v>149</v>
      </c>
      <c r="D13" s="7">
        <f t="shared" si="0"/>
        <v>759.9</v>
      </c>
    </row>
    <row r="14" spans="1:4" x14ac:dyDescent="0.25">
      <c r="A14" s="5">
        <f t="shared" si="1"/>
        <v>9</v>
      </c>
      <c r="B14" s="5">
        <v>5.0999999999999996</v>
      </c>
      <c r="C14" s="5">
        <v>161</v>
      </c>
      <c r="D14" s="7">
        <f t="shared" si="0"/>
        <v>821.09999999999991</v>
      </c>
    </row>
    <row r="15" spans="1:4" x14ac:dyDescent="0.25">
      <c r="A15" s="5">
        <f t="shared" si="1"/>
        <v>10</v>
      </c>
      <c r="B15" s="5">
        <v>5.0999999999999996</v>
      </c>
      <c r="C15" s="5">
        <v>173</v>
      </c>
      <c r="D15" s="7">
        <f t="shared" si="0"/>
        <v>882.3</v>
      </c>
    </row>
    <row r="16" spans="1:4" x14ac:dyDescent="0.25">
      <c r="A16" s="5">
        <f t="shared" si="1"/>
        <v>11</v>
      </c>
      <c r="B16" s="5">
        <v>5.0999999999999996</v>
      </c>
      <c r="C16" s="5">
        <v>190</v>
      </c>
      <c r="D16" s="7">
        <f t="shared" si="0"/>
        <v>968.99999999999989</v>
      </c>
    </row>
    <row r="17" spans="1:4" x14ac:dyDescent="0.25">
      <c r="A17" s="5">
        <f t="shared" si="1"/>
        <v>12</v>
      </c>
      <c r="B17" s="5">
        <v>5.0999999999999996</v>
      </c>
      <c r="C17" s="5">
        <v>205</v>
      </c>
      <c r="D17" s="7">
        <f t="shared" si="0"/>
        <v>1045.5</v>
      </c>
    </row>
    <row r="18" spans="1:4" x14ac:dyDescent="0.25">
      <c r="A18" s="5">
        <f t="shared" si="1"/>
        <v>13</v>
      </c>
      <c r="B18" s="5">
        <v>5.0999999999999996</v>
      </c>
      <c r="C18" s="5">
        <v>217</v>
      </c>
      <c r="D18" s="7">
        <f t="shared" si="0"/>
        <v>1106.6999999999998</v>
      </c>
    </row>
    <row r="19" spans="1:4" x14ac:dyDescent="0.25">
      <c r="A19" s="5">
        <f t="shared" si="1"/>
        <v>14</v>
      </c>
      <c r="B19" s="5">
        <v>5.0999999999999996</v>
      </c>
      <c r="C19" s="5">
        <v>228</v>
      </c>
      <c r="D19" s="7">
        <f t="shared" si="0"/>
        <v>1162.8</v>
      </c>
    </row>
    <row r="20" spans="1:4" x14ac:dyDescent="0.25">
      <c r="A20" s="5">
        <f t="shared" si="1"/>
        <v>15</v>
      </c>
      <c r="B20" s="5">
        <v>5.0999999999999996</v>
      </c>
      <c r="C20" s="5">
        <v>240</v>
      </c>
      <c r="D20" s="7">
        <f t="shared" si="0"/>
        <v>1224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maths</vt:lpstr>
      <vt:lpstr>bom</vt:lpstr>
      <vt:lpstr>dataBase</vt:lpstr>
      <vt:lpstr>printing</vt:lpstr>
      <vt:lpstr>testing</vt:lpstr>
      <vt:lpstr>pinout</vt:lpstr>
      <vt:lpstr>wiring</vt:lpstr>
      <vt:lpstr>power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Alastair William Green (Student)</dc:creator>
  <cp:lastModifiedBy>Alastair William Green (Student)</cp:lastModifiedBy>
  <dcterms:created xsi:type="dcterms:W3CDTF">2025-09-05T05:18:14Z</dcterms:created>
  <dcterms:modified xsi:type="dcterms:W3CDTF">2026-01-04T02:03:55Z</dcterms:modified>
</cp:coreProperties>
</file>